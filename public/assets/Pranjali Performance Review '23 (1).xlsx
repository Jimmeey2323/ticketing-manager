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4.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ts Jan-Dec23" sheetId="1" r:id="rId5"/>
    <sheet state="visible" name="Performance review" sheetId="2" r:id="rId6"/>
    <sheet state="visible" name="2024" sheetId="3" r:id="rId7"/>
    <sheet state="visible" name="2025" sheetId="4" r:id="rId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tc={04342086-da74-460f-92df-d082b84856f8}</author>
    <author>tc={118e4ba8-ef0a-4713-bc82-e9dde9725f4c}</author>
    <author>tc={14941c1e-97b3-4ee6-b51a-2b6ec346653c}</author>
    <author>tc={243359fe-b8d8-4551-a45d-adee97214ed1}</author>
    <author>tc={2fbeb69a-619d-48f2-8c36-a754dd3af9f6}</author>
    <author>tc={306c57ea-a204-4589-a35c-099d87c9882c}</author>
    <author>tc={3e051257-f0a0-4494-8835-4cb08070c316}</author>
    <author>tc={40c360f7-7e34-4246-a5a4-c5f42875f32d}</author>
    <author>tc={46a20225-d263-4fd2-80ca-2b141ef8dd38}</author>
    <author>tc={48d84db8-bc6a-4f29-80f8-9be0fc472a5b}</author>
    <author>tc={4a6130c2-cbe4-4c93-9792-280d0e364f91}</author>
    <author>tc={4e439127-e106-46e0-bb1c-8d53eb58ab05}</author>
    <author>tc={52a5adf3-2f85-4edb-91c4-1d9051cb6b4c}</author>
    <author>tc={6784ccb3-ddad-40df-9b5c-887f2ee603bf}</author>
    <author>tc={6a9a0742-ac5f-4133-b109-47c89717538c}</author>
    <author>tc={6ce3ed98-c1af-46ac-9193-4bea7b426153}</author>
    <author>tc={7315fe90-2e91-4731-98df-2f80e3b52011}</author>
    <author>tc={7e4870aa-facb-4613-b614-86300ad26a85}</author>
    <author>tc={82e990aa-33af-4493-b1c1-9b6e8fa6981c}</author>
    <author>tc={89e6d08d-d7ea-4cf1-8cd6-1d55157f007e}</author>
    <author>tc={94f66abe-dc85-4251-a144-59ce736ce4d6}</author>
    <author>tc={968cd052-d630-4388-a2ae-a5efe3235ae8}</author>
    <author>tc={a0cf18c9-5d4b-4d36-bdeb-1783fc7c3ace}</author>
    <author>tc={aa84f22c-404d-432d-b97a-6ce1613adf86}</author>
    <author>tc={b25e5696-105c-4d9c-a6a9-a4390682b9ad}</author>
    <author>tc={b64ab8c4-d901-4b45-8ebc-fe7f0b91ccd0}</author>
    <author>tc={b8a061cf-115c-43ac-b911-d9f4e03410af}</author>
    <author>tc={be12a97a-f378-4dc8-93f8-96de2bbc2539}</author>
    <author>tc={cbaaf6b2-e958-4074-94a9-fdb31193467b}</author>
    <author>tc={cc5b528b-8b28-45cf-86f8-db340de04e81}</author>
    <author>tc={cf05766d-668e-4755-847f-e506cba105f8}</author>
    <author>tc={cf40ed1d-a029-4882-b8ea-910976f64430}</author>
    <author>tc={d7456e7c-8ba3-4ac1-a9b8-a17cd1835566}</author>
    <author>tc={dc984f7c-dcb8-4d4e-9b85-aa1ed3cf8f81}</author>
    <author>tc={e07d2345-346b-494c-828f-e2b38619ee74}</author>
    <author>tc={e7c07689-7cfc-43e2-ad4b-c997b92e2839}</author>
    <author>tc={eda362b9-c9eb-4f0e-b74e-671d48e3c976}</author>
    <author>tc={edb3bb78-8e8e-49c4-b277-f101c9ea8656}</author>
    <author>tc={f5f0e16f-185c-4a92-bac7-9dbff2c49450}</author>
    <author>tc={f9285c8b-6cce-48ac-a5b0-80b57ea9ba43}</author>
    <author>tc={fb68ba44-4d2f-429d-a292-df4a66cc0f1b}</author>
  </authors>
  <commentList>
    <comment authorId="0" xr:uid="{04342086-da74-460f-92df-d082b84856f8}" ref="D9">
      <text>
        <t xml:space="preserve">[Threaded comment]
 Your version of Excel allows you to read this threaded comment; however, any edits to it will get removed if the file is opened in a newer version of Excel. Learn more: https://go.microsoft.com/fwlink/?linkid=870924
Comment:
	Highest avg 2.7. Studio avg 2.5
</t>
      </text>
    </comment>
    <comment authorId="1" xr:uid="{118e4ba8-ef0a-4713-bc82-e9dde9725f4c}" ref="N17">
      <text>
        <t xml:space="preserve">[Threaded comment]
 Your version of Excel allows you to read this threaded comment; however, any edits to it will get removed if the file is opened in a newer version of Excel. Learn more: https://go.microsoft.com/fwlink/?linkid=870924
Comment:
	40 of 48 = 83%
</t>
      </text>
    </comment>
    <comment authorId="2" xr:uid="{14941c1e-97b3-4ee6-b51a-2b6ec346653c}" ref="E6">
      <text>
        <t xml:space="preserve">[Threaded comment]
 Your version of Excel allows you to read this threaded comment; however, any edits to it will get removed if the file is opened in a newer version of Excel. Learn more: https://go.microsoft.com/fwlink/?linkid=870924
Comment:
	3 out of 12 returned
</t>
      </text>
    </comment>
    <comment authorId="3" xr:uid="{243359fe-b8d8-4551-a45d-adee97214ed1}" ref="H15">
      <text>
        <t xml:space="preserve">[Threaded comment]
 Your version of Excel allows you to read this threaded comment; however, any edits to it will get removed if the file is opened in a newer version of Excel. Learn more: https://go.microsoft.com/fwlink/?linkid=870924
Comment:
	2/7 two classes at mews, phone wasn't working
</t>
      </text>
    </comment>
    <comment authorId="4" xr:uid="{2fbeb69a-619d-48f2-8c36-a754dd3af9f6}" ref="J4">
      <text>
        <t xml:space="preserve">[Threaded comment]
 Your version of Excel allows you to read this threaded comment; however, any edits to it will get removed if the file is opened in a newer version of Excel. Learn more: https://go.microsoft.com/fwlink/?linkid=870924
Comment:
	Studio av is 4.8, highest is 6.5
</t>
      </text>
    </comment>
    <comment authorId="5" xr:uid="{306c57ea-a204-4589-a35c-099d87c9882c}" ref="D4">
      <text>
        <t xml:space="preserve">[Threaded comment]
 Your version of Excel allows you to read this threaded comment; however, any edits to it will get removed if the file is opened in a newer version of Excel. Learn more: https://go.microsoft.com/fwlink/?linkid=870924
Comment:
	Confratulations!! You share your highest avg with 2 other trainers! Studio avg 3.5
</t>
      </text>
    </comment>
    <comment authorId="6" xr:uid="{3e051257-f0a0-4494-8835-4cb08070c316}" ref="I6">
      <text>
        <t xml:space="preserve">[Threaded comment]
 Your version of Excel allows you to read this threaded comment; however, any edits to it will get removed if the file is opened in a newer version of Excel. Learn more: https://go.microsoft.com/fwlink/?linkid=870924
Comment:
	3 out of 9 returned
</t>
      </text>
    </comment>
    <comment authorId="7" xr:uid="{40c360f7-7e34-4246-a5a4-c5f42875f32d}" ref="K15">
      <text>
        <t xml:space="preserve">[Threaded comment]
 Your version of Excel allows you to read this threaded comment; however, any edits to it will get removed if the file is opened in a newer version of Excel. Learn more: https://go.microsoft.com/fwlink/?linkid=870924
Comment:
	two on 2nd, 21st, two on 27th assignment not rcvd
</t>
      </text>
    </comment>
    <comment authorId="8" xr:uid="{46a20225-d263-4fd2-80ca-2b141ef8dd38}" ref="K6">
      <text>
        <t xml:space="preserve">[Threaded comment]
 Your version of Excel allows you to read this threaded comment; however, any edits to it will get removed if the file is opened in a newer version of Excel. Learn more: https://go.microsoft.com/fwlink/?linkid=870924
Comment:
	0 out of 3 returned
</t>
      </text>
    </comment>
    <comment authorId="9" xr:uid="{48d84db8-bc6a-4f29-80f8-9be0fc472a5b}" ref="G6">
      <text>
        <t xml:space="preserve">[Threaded comment]
 Your version of Excel allows you to read this threaded comment; however, any edits to it will get removed if the file is opened in a newer version of Excel. Learn more: https://go.microsoft.com/fwlink/?linkid=870924
Comment:
	7 out 20 returned
</t>
      </text>
    </comment>
    <comment authorId="10" xr:uid="{4a6130c2-cbe4-4c93-9792-280d0e364f91}" ref="C4">
      <text>
        <t xml:space="preserve">[Threaded comment]
 Your version of Excel allows you to read this threaded comment; however, any edits to it will get removed if the file is opened in a newer version of Excel. Learn more: https://go.microsoft.com/fwlink/?linkid=870924
Comment:
	Average score lowest from the bottom. Highest avg 5.2. Studio avg 3.7
</t>
      </text>
    </comment>
    <comment authorId="11" xr:uid="{4e439127-e106-46e0-bb1c-8d53eb58ab05}" ref="N19">
      <text>
        <t xml:space="preserve">[Threaded comment]
 Your version of Excel allows you to read this threaded comment; however, any edits to it will get removed if the file is opened in a newer version of Excel. Learn more: https://go.microsoft.com/fwlink/?linkid=870924
Comment:
	33%
</t>
      </text>
    </comment>
    <comment authorId="12" xr:uid="{52a5adf3-2f85-4edb-91c4-1d9051cb6b4c}" ref="F11">
      <text>
        <t xml:space="preserve">[Threaded comment]
 Your version of Excel allows you to read this threaded comment; however, any edits to it will get removed if the file is opened in a newer version of Excel. Learn more: https://go.microsoft.com/fwlink/?linkid=870924
Comment:
	1 out of 6 returned
</t>
      </text>
    </comment>
    <comment authorId="13" xr:uid="{6784ccb3-ddad-40df-9b5c-887f2ee603bf}" ref="J6">
      <text>
        <t xml:space="preserve">[Threaded comment]
 Your version of Excel allows you to read this threaded comment; however, any edits to it will get removed if the file is opened in a newer version of Excel. Learn more: https://go.microsoft.com/fwlink/?linkid=870924
Comment:
	3 out of 7 returned
</t>
      </text>
    </comment>
    <comment authorId="14" xr:uid="{6a9a0742-ac5f-4133-b109-47c89717538c}" ref="B11">
      <text>
        <t xml:space="preserve">[Threaded comment]
 Your version of Excel allows you to read this threaded comment; however, any edits to it will get removed if the file is opened in a newer version of Excel. Learn more: https://go.microsoft.com/fwlink/?linkid=870924
Comment:
	1 on 3 returned
</t>
      </text>
    </comment>
    <comment authorId="15" xr:uid="{6ce3ed98-c1af-46ac-9193-4bea7b426153}" ref="L9">
      <text>
        <t xml:space="preserve">[Threaded comment]
 Your version of Excel allows you to read this threaded comment; however, any edits to it will get removed if the file is opened in a newer version of Excel. Learn more: https://go.microsoft.com/fwlink/?linkid=870924
Comment:
	Yours is the highest av, studio av is 1.4
</t>
      </text>
    </comment>
    <comment authorId="16" xr:uid="{7315fe90-2e91-4731-98df-2f80e3b52011}" ref="N15">
      <text>
        <t xml:space="preserve">[Threaded comment]
 Your version of Excel allows you to read this threaded comment; however, any edits to it will get removed if the file is opened in a newer version of Excel. Learn more: https://go.microsoft.com/fwlink/?linkid=870924
Comment:
	73%
</t>
      </text>
    </comment>
    <comment authorId="17" xr:uid="{7e4870aa-facb-4613-b614-86300ad26a85}" ref="H6">
      <text>
        <t xml:space="preserve">[Threaded comment]
 Your version of Excel allows you to read this threaded comment; however, any edits to it will get removed if the file is opened in a newer version of Excel. Learn more: https://go.microsoft.com/fwlink/?linkid=870924
Comment:
	5 out of 11 returned
</t>
      </text>
    </comment>
    <comment authorId="18" xr:uid="{82e990aa-33af-4493-b1c1-9b6e8fa6981c}" ref="G4">
      <text>
        <t xml:space="preserve">[Threaded comment]
 Your version of Excel allows you to read this threaded comment; however, any edits to it will get removed if the file is opened in a newer version of Excel. Learn more: https://go.microsoft.com/fwlink/?linkid=870924
Comment:
	highest is 7.1
</t>
      </text>
    </comment>
    <comment authorId="19" xr:uid="{89e6d08d-d7ea-4cf1-8cd6-1d55157f007e}" ref="B6">
      <text>
        <t xml:space="preserve">[Threaded comment]
 Your version of Excel allows you to read this threaded comment; however, any edits to it will get removed if the file is opened in a newer version of Excel. Learn more: https://go.microsoft.com/fwlink/?linkid=870924
Comment:
	2 of 5 returned
</t>
      </text>
    </comment>
    <comment authorId="20" xr:uid="{94f66abe-dc85-4251-a144-59ce736ce4d6}" ref="H4">
      <text>
        <t xml:space="preserve">[Threaded comment]
 Your version of Excel allows you to read this threaded comment; however, any edits to it will get removed if the file is opened in a newer version of Excel. Learn more: https://go.microsoft.com/fwlink/?linkid=870924
Comment:
	Highest is 6.1, Studio average is 4.4
</t>
      </text>
    </comment>
    <comment authorId="21" xr:uid="{968cd052-d630-4388-a2ae-a5efe3235ae8}" ref="K11">
      <text>
        <t xml:space="preserve">[Threaded comment]
 Your version of Excel allows you to read this threaded comment; however, any edits to it will get removed if the file is opened in a newer version of Excel. Learn more: https://go.microsoft.com/fwlink/?linkid=870924
Comment:
	None of out 1
</t>
      </text>
    </comment>
    <comment authorId="22" xr:uid="{a0cf18c9-5d4b-4d36-bdeb-1783fc7c3ace}" ref="E9">
      <text>
        <t xml:space="preserve">[Threaded comment]
 Your version of Excel allows you to read this threaded comment; however, any edits to it will get removed if the file is opened in a newer version of Excel. Learn more: https://go.microsoft.com/fwlink/?linkid=870924
Comment:
	Studio av-1.9, Highest av-2.6
</t>
      </text>
    </comment>
    <comment authorId="23" xr:uid="{aa84f22c-404d-432d-b97a-6ce1613adf86}" ref="B4">
      <text>
        <t xml:space="preserve">[Threaded comment]
 Your version of Excel allows you to read this threaded comment; however, any edits to it will get removed if the file is opened in a newer version of Excel. Learn more: https://go.microsoft.com/fwlink/?linkid=870924
Comment:
	Studio avg 2.9. Highest avg 4.2
</t>
      </text>
    </comment>
    <comment authorId="24" xr:uid="{b25e5696-105c-4d9c-a6a9-a4390682b9ad}" ref="C1">
      <text>
        <t xml:space="preserve">[Threaded comment]
 Your version of Excel allows you to read this threaded comment; however, any edits to it will get removed if the file is opened in a newer version of Excel. Learn more: https://go.microsoft.com/fwlink/?linkid=870924
Comment:
	Target Kemps 6
Target Mews 6
</t>
      </text>
    </comment>
    <comment authorId="25" xr:uid="{b64ab8c4-d901-4b45-8ebc-fe7f0b91ccd0}" ref="K9">
      <text>
        <t xml:space="preserve">[Threaded comment]
 Your version of Excel allows you to read this threaded comment; however, any edits to it will get removed if the file is opened in a newer version of Excel. Learn more: https://go.microsoft.com/fwlink/?linkid=870924
Comment:
	Studio av is 1.4 and highest is 1.8
</t>
      </text>
    </comment>
    <comment authorId="26" xr:uid="{b8a061cf-115c-43ac-b911-d9f4e03410af}" ref="I9">
      <text>
        <t xml:space="preserve">[Threaded comment]
 Your version of Excel allows you to read this threaded comment; however, any edits to it will get removed if the file is opened in a newer version of Excel. Learn more: https://go.microsoft.com/fwlink/?linkid=870924
Comment:
	studio av is 1.8, highest is 2.5
</t>
      </text>
    </comment>
    <comment authorId="27" xr:uid="{be12a97a-f378-4dc8-93f8-96de2bbc2539}" ref="C9">
      <text>
        <t xml:space="preserve">[Threaded comment]
 Your version of Excel allows you to read this threaded comment; however, any edits to it will get removed if the file is opened in a newer version of Excel. Learn more: https://go.microsoft.com/fwlink/?linkid=870924
Comment:
	Highest avg 1.7. Studio avg 1.4
</t>
      </text>
    </comment>
    <comment authorId="28" xr:uid="{cbaaf6b2-e958-4074-94a9-fdb31193467b}" ref="D6">
      <text>
        <t xml:space="preserve">[Threaded comment]
 Your version of Excel allows you to read this threaded comment; however, any edits to it will get removed if the file is opened in a newer version of Excel. Learn more: https://go.microsoft.com/fwlink/?linkid=870924
Comment:
	1 of 9 returned
</t>
      </text>
    </comment>
    <comment authorId="29" xr:uid="{cc5b528b-8b28-45cf-86f8-db340de04e81}" ref="L4">
      <text>
        <t xml:space="preserve">[Threaded comment]
 Your version of Excel allows you to read this threaded comment; however, any edits to it will get removed if the file is opened in a newer version of Excel. Learn more: https://go.microsoft.com/fwlink/?linkid=870924
Comment:
	highest is 6.2, studio av is 4.4
</t>
      </text>
    </comment>
    <comment authorId="30" xr:uid="{cf05766d-668e-4755-847f-e506cba105f8}" ref="K4">
      <text>
        <t xml:space="preserve">[Threaded comment]
 Your version of Excel allows you to read this threaded comment; however, any edits to it will get removed if the file is opened in a newer version of Excel. Learn more: https://go.microsoft.com/fwlink/?linkid=870924
Comment:
	Studio av is 4.9 and highest is 7.6
</t>
      </text>
    </comment>
    <comment authorId="31" xr:uid="{cf40ed1d-a029-4882-b8ea-910976f64430}" ref="F6">
      <text>
        <t xml:space="preserve">[Threaded comment]
 Your version of Excel allows you to read this threaded comment; however, any edits to it will get removed if the file is opened in a newer version of Excel. Learn more: https://go.microsoft.com/fwlink/?linkid=870924
Comment:
	4 out 8 returned
</t>
      </text>
    </comment>
    <comment authorId="32" xr:uid="{d7456e7c-8ba3-4ac1-a9b8-a17cd1835566}" ref="F4">
      <text>
        <t xml:space="preserve">[Threaded comment]
 Your version of Excel allows you to read this threaded comment; however, any edits to it will get removed if the file is opened in a newer version of Excel. Learn more: https://go.microsoft.com/fwlink/?linkid=870924
Comment:
	studio av-5.1, Highest av-8.2. Yours is the second highest!!
</t>
      </text>
    </comment>
    <comment authorId="33" xr:uid="{dc984f7c-dcb8-4d4e-9b85-aa1ed3cf8f81}" ref="E4">
      <text>
        <t xml:space="preserve">[Threaded comment]
 Your version of Excel allows you to read this threaded comment; however, any edits to it will get removed if the file is opened in a newer version of Excel. Learn more: https://go.microsoft.com/fwlink/?linkid=870924
Comment:
	Studio av-4.2, Highest av-6.5
</t>
      </text>
    </comment>
    <comment authorId="34" xr:uid="{e07d2345-346b-494c-828f-e2b38619ee74}" ref="I11">
      <text>
        <t xml:space="preserve">[Threaded comment]
 Your version of Excel allows you to read this threaded comment; however, any edits to it will get removed if the file is opened in a newer version of Excel. Learn more: https://go.microsoft.com/fwlink/?linkid=870924
Comment:
	none out of 1 returned
</t>
      </text>
    </comment>
    <comment authorId="35" xr:uid="{e7c07689-7cfc-43e2-ad4b-c997b92e2839}" ref="I4">
      <text>
        <t xml:space="preserve">[Threaded comment]
 Your version of Excel allows you to read this threaded comment; however, any edits to it will get removed if the file is opened in a newer version of Excel. Learn more: https://go.microsoft.com/fwlink/?linkid=870924
Comment:
	studio av is 5, highest is 6.5
</t>
      </text>
    </comment>
    <comment authorId="36" xr:uid="{eda362b9-c9eb-4f0e-b74e-671d48e3c976}" ref="C6">
      <text>
        <t xml:space="preserve">[Threaded comment]
 Your version of Excel allows you to read this threaded comment; however, any edits to it will get removed if the file is opened in a newer version of Excel. Learn more: https://go.microsoft.com/fwlink/?linkid=870924
Comment:
	None of 4 returned
</t>
      </text>
    </comment>
    <comment authorId="37" xr:uid="{edb3bb78-8e8e-49c4-b277-f101c9ea8656}" ref="J9">
      <text>
        <t xml:space="preserve">[Threaded comment]
 Your version of Excel allows you to read this threaded comment; however, any edits to it will get removed if the file is opened in a newer version of Excel. Learn more: https://go.microsoft.com/fwlink/?linkid=870924
Comment:
	Studio av is 1.3, highest is 2.3
</t>
      </text>
    </comment>
    <comment authorId="38" xr:uid="{f5f0e16f-185c-4a92-bac7-9dbff2c49450}" ref="D11">
      <text>
        <t xml:space="preserve">[Threaded comment]
 Your version of Excel allows you to read this threaded comment; however, any edits to it will get removed if the file is opened in a newer version of Excel. Learn more: https://go.microsoft.com/fwlink/?linkid=870924
Comment:
	Congratulations! Highest conversion in Colaba. 2 of 3 returned
</t>
      </text>
    </comment>
    <comment authorId="39" xr:uid="{f9285c8b-6cce-48ac-a5b0-80b57ea9ba43}" ref="F9">
      <text>
        <t xml:space="preserve">[Threaded comment]
 Your version of Excel allows you to read this threaded comment; however, any edits to it will get removed if the file is opened in a newer version of Excel. Learn more: https://go.microsoft.com/fwlink/?linkid=870924
Comment:
	Studio av-1.8,Highest- 2.4
</t>
      </text>
    </comment>
    <comment authorId="40" xr:uid="{fb68ba44-4d2f-429d-a292-df4a66cc0f1b}" ref="L11">
      <text>
        <t xml:space="preserve">[Threaded comment]
 Your version of Excel allows you to read this threaded comment; however, any edits to it will get removed if the file is opened in a newer version of Excel. Learn more: https://go.microsoft.com/fwlink/?linkid=870924
Comment:
	1 out of 2 returned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tc={1e60a319-75aa-4153-98b1-91d70570edf8}</author>
    <author>tc={6f44bb94-b401-4f19-990e-659cbaa72f10}</author>
    <author>tc={d25c87ff-ee35-4ca2-aa88-423a885e4580}</author>
    <author>tc={e87505ad-3b9e-457e-bfe1-796083060c91}</author>
    <author>tc={e8f73453-34e5-467d-848f-1d4b890305e8}</author>
  </authors>
  <commentList>
    <comment authorId="0" xr:uid="{1e60a319-75aa-4153-98b1-91d70570edf8}" ref="A9">
      <text>
        <t xml:space="preserve">[Threaded comment]
 Your version of Excel allows you to read this threaded comment; however, any edits to it will get removed if the file is opened in a newer version of Excel. Learn more: https://go.microsoft.com/fwlink/?linkid=870924
Comment:
	Min target =30%
20% and above= 12.5%
15 to 19.9%= 10.5
14.9 to 10% = 7.5
5 to 9.9% = 5
1 to 4.9% = 3
under 1 = 0
</t>
      </text>
    </comment>
    <comment authorId="1" xr:uid="{6f44bb94-b401-4f19-990e-659cbaa72f10}" ref="A17">
      <text>
        <t xml:space="preserve">[Threaded comment]
 Your version of Excel allows you to read this threaded comment; however, any edits to it will get removed if the file is opened in a newer version of Excel. Learn more: https://go.microsoft.com/fwlink/?linkid=870924
Comment:
	70-100%= 5
50-69% = 2.5
30-59% = 0.5
below 30% = 0
</t>
      </text>
    </comment>
    <comment authorId="2" xr:uid="{d25c87ff-ee35-4ca2-aa88-423a885e4580}" ref="C17">
      <text>
        <t xml:space="preserve">[Threaded comment]
 Your version of Excel allows you to read this threaded comment; however, any edits to it will get removed if the file is opened in a newer version of Excel. Learn more: https://go.microsoft.com/fwlink/?linkid=870924
Comment:
	2.5 + 4.5
</t>
      </text>
    </comment>
    <comment authorId="3" xr:uid="{e87505ad-3b9e-457e-bfe1-796083060c91}" ref="A8">
      <text>
        <t xml:space="preserve">[Threaded comment]
 Your version of Excel allows you to read this threaded comment; however, any edits to it will get removed if the file is opened in a newer version of Excel. Learn more: https://go.microsoft.com/fwlink/?linkid=870924
Comment:
	Target = 6
100% and above =12.5
75-99%= 10.5
60-74%= 7.5
45 to 59%= 5
30 to 44%= 3
under 30% = 0
</t>
      </text>
    </comment>
    <comment authorId="4" xr:uid="{e8f73453-34e5-467d-848f-1d4b890305e8}" ref="D9">
      <text>
        <t xml:space="preserve">[Threaded comment]
 Your version of Excel allows you to read this threaded comment; however, any edits to it will get removed if the file is opened in a newer version of Excel. Learn more: https://go.microsoft.com/fwlink/?linkid=870924
Comment:
	She is not top, Viv is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tc={00ae9d0a-06bf-4b3e-87ba-be6ccdcb150e}</author>
    <author>tc={01b60129-f986-49fc-8113-6d57f61ac682}</author>
    <author>tc={06350e81-efab-408e-b6fb-6d484fd72712}</author>
    <author>tc={0aac8ee4-58d9-439d-a867-96b68be5fbe4}</author>
    <author>tc={0d039ece-713e-46fe-a478-6fcec6ec42ba}</author>
    <author>tc={154b6b0b-cdf7-4ba9-b53e-33b2bab3ceeb}</author>
    <author>tc={17d58146-6a89-488f-86a1-a99bba5ab28e}</author>
    <author>tc={197d9c26-1ffe-427e-b13c-a9754a02f3a4}</author>
    <author>tc={1e2bd746-3ddd-4411-983f-106a43fc04dd}</author>
    <author>tc={28173041-6c53-4449-bca2-68c9b98e7297}</author>
    <author>tc={29b74857-f8e1-4014-b7f4-215e4b335d0b}</author>
    <author>tc={2e5c2156-6c40-4e65-9636-f584ebaa7da3}</author>
    <author>tc={326ff5a3-c86c-4250-b911-d531186a2f9f}</author>
    <author>tc={37498141-c15c-4d1b-81f6-ef0bb544f6df}</author>
    <author>tc={403b7075-269f-40b6-ae4d-477f17cb632c}</author>
    <author>tc={4d434eaa-4e7b-4664-9c5b-6b04b211f47d}</author>
    <author>tc={4dc9873c-e8c0-4196-a62b-9d60a3e5fd5a}</author>
    <author>tc={50bf8bf5-8163-49e7-981f-4929e1d5bb16}</author>
    <author>tc={5511ff90-9a68-4f76-b2b4-905e84542ffc}</author>
    <author>tc={57f1dc54-2c1d-4638-8082-3eb6fa7d4d2e}</author>
    <author>tc={659173e3-92fc-4404-994f-6ff4e6b8223c}</author>
    <author>tc={668c07da-ad8e-4784-83cd-1e2636107c6b}</author>
    <author>tc={6ae5c06c-bf68-43a0-a3a5-9e6a4cc591d2}</author>
    <author>tc={7806af15-1b53-4169-998a-752d071426e6}</author>
    <author>tc={7b821935-9151-40bf-9edc-9b153f39a89b}</author>
    <author>tc={7ba5bcc7-cba9-4b85-9de0-8f3aac8a9f0e}</author>
    <author>tc={85080f35-e922-4ca6-b831-6168d8af98c9}</author>
    <author>tc={8785d513-b6aa-45b2-bf38-3c0dec2421ce}</author>
    <author>tc={885f59d5-76e6-48e8-97ae-7243a5b2c2b0}</author>
    <author>tc={8e21f93b-481c-4176-9460-6e4b11a102f7}</author>
    <author>tc={914495c8-f5c5-45bc-a7c4-089d9d6eb30b}</author>
    <author>tc={995f654a-f639-4732-bf1e-8fe2aa80601a}</author>
    <author>tc={aaac97a2-6c67-4c22-9f6a-07cb86fcb938}</author>
    <author>tc={ab8a9221-549d-47f1-8063-d34d73f1da48}</author>
    <author>tc={b848e7ca-2c25-4179-ad4d-92455a248ea6}</author>
    <author>tc={b9a7540e-8a7b-44bf-b6a2-721b13ff05ff}</author>
    <author>tc={bc7ba61e-1147-4e17-8eec-46964efd287f}</author>
    <author>tc={c1296128-f7f8-4936-a04b-0df10789fb85}</author>
    <author>tc={c1a87213-a8fd-46d7-be02-62d20c6530eb}</author>
    <author>tc={c2d33905-3889-41cb-9fe9-d9948c3b74f8}</author>
    <author>tc={c531e3fd-8f08-4ffe-8eff-c78634015aeb}</author>
    <author>tc={c8b6a030-efaf-47d4-b6f2-7d7e3359395f}</author>
    <author>tc={c9f386a7-b460-456f-961a-f06b7f0c2536}</author>
    <author>tc={cd74a0b3-fa51-41be-ac84-aeca38f9d417}</author>
    <author>tc={d4103c2a-a109-46cd-8b56-f4383e8acd42}</author>
    <author>tc={d8dfdc7b-a8ed-430b-8b52-77eb67b4b455}</author>
    <author>tc={dd1b6467-422b-4b7a-9363-24b2da892249}</author>
    <author>tc={e09e9eb9-80ce-4c9d-913f-672906ade3ef}</author>
    <author>tc={e11c4926-0df0-4d7f-9539-8e03aebbf51f}</author>
    <author>tc={e269b04c-baad-4eed-9af0-a12f0d1a759b}</author>
    <author>tc={e87ded40-7e3e-4616-8ada-b940e3f7b55b}</author>
    <author>tc={eec3dcf3-b232-45e7-9264-d3b706ca0450}</author>
    <author>tc={f58eb39f-8bc1-4094-a0b2-b2befa88ef16}</author>
    <author>tc={fd47838c-5bc3-4c45-9365-bfd42979f118}</author>
  </authors>
  <commentList>
    <comment authorId="0" xr:uid="{00ae9d0a-06bf-4b3e-87ba-be6ccdcb150e}" ref="H4">
      <text>
        <t xml:space="preserve">[Threaded comment]
 Your version of Excel allows you to read this threaded comment; however, any edits to it will get removed if the file is opened in a newer version of Excel. Learn more: https://go.microsoft.com/fwlink/?linkid=870924
Comment:
	Bandra retention- 6% ( 4 out of 70 returned)
Kemps Retention-50% ( 2 out of 4 returned)
</t>
      </text>
    </comment>
    <comment authorId="1" xr:uid="{01b60129-f986-49fc-8113-6d57f61ac682}" ref="B3">
      <text>
        <t xml:space="preserve">[Threaded comment]
 Your version of Excel allows you to read this threaded comment; however, any edits to it will get removed if the file is opened in a newer version of Excel. Learn more: https://go.microsoft.com/fwlink/?linkid=870924
Comment:
	Target is 6
</t>
      </text>
    </comment>
    <comment authorId="2" xr:uid="{06350e81-efab-408e-b6fb-6d484fd72712}" ref="D3">
      <text>
        <t xml:space="preserve">[Threaded comment]
 Your version of Excel allows you to read this threaded comment; however, any edits to it will get removed if the file is opened in a newer version of Excel. Learn more: https://go.microsoft.com/fwlink/?linkid=870924
Comment:
	Your av is 5.5, highest is 9.1, studio av is 4.7
</t>
      </text>
    </comment>
    <comment authorId="3" xr:uid="{0aac8ee4-58d9-439d-a867-96b68be5fbe4}" ref="K5">
      <text>
        <t xml:space="preserve">[Threaded comment]
 Your version of Excel allows you to read this threaded comment; however, any edits to it will get removed if the file is opened in a newer version of Excel. Learn more: https://go.microsoft.com/fwlink/?linkid=870924
Comment:
	0+7.5
</t>
      </text>
    </comment>
    <comment authorId="4" xr:uid="{0d039ece-713e-46fe-a478-6fcec6ec42ba}" ref="A12">
      <text>
        <t xml:space="preserve">[Threaded comment]
 Your version of Excel allows you to read this threaded comment; however, any edits to it will get removed if the file is opened in a newer version of Excel. Learn more: https://go.microsoft.com/fwlink/?linkid=870924
Comment:
	70-100%= 5
50-69% = 2.5
30-49% = 0.5
below 30% = 0
</t>
      </text>
    </comment>
    <comment authorId="5" xr:uid="{154b6b0b-cdf7-4ba9-b53e-33b2bab3ceeb}" ref="O12">
      <text>
        <t xml:space="preserve">[Threaded comment]
 Your version of Excel allows you to read this threaded comment; however, any edits to it will get removed if the file is opened in a newer version of Excel. Learn more: https://go.microsoft.com/fwlink/?linkid=870924
Comment:
	3/7 empty hours, 6/6 class attended, No workshop
Reply:
	2.5+5
Reply:
	hi hi, sorry but i attended 9 classes in october. sent the sheet to mriga.
Reply:
	also i think I had 6 empty hours. can you pls check?
Reply:
	Hey, You had 7 empty hours and I have made changes in your class attended.
</t>
      </text>
    </comment>
    <comment authorId="6" xr:uid="{17d58146-6a89-488f-86a1-a99bba5ab28e}" ref="Q4">
      <text>
        <t xml:space="preserve">[Threaded comment]
 Your version of Excel allows you to read this threaded comment; however, any edits to it will get removed if the file is opened in a newer version of Excel. Learn more: https://go.microsoft.com/fwlink/?linkid=870924
Comment:
	Kemps-50% (1 out of 2 returned)
Bandra- 14% ( 1 out of 7 returned)
</t>
      </text>
    </comment>
    <comment authorId="7" xr:uid="{197d9c26-1ffe-427e-b13c-a9754a02f3a4}" ref="I5">
      <text>
        <t xml:space="preserve">[Threaded comment]
 Your version of Excel allows you to read this threaded comment; however, any edits to it will get removed if the file is opened in a newer version of Excel. Learn more: https://go.microsoft.com/fwlink/?linkid=870924
Comment:
	0+7.5
</t>
      </text>
    </comment>
    <comment authorId="8" xr:uid="{1e2bd746-3ddd-4411-983f-106a43fc04dd}" ref="E3">
      <text>
        <t xml:space="preserve">[Threaded comment]
 Your version of Excel allows you to read this threaded comment; however, any edits to it will get removed if the file is opened in a newer version of Excel. Learn more: https://go.microsoft.com/fwlink/?linkid=870924
Comment:
	Your av is 4.8, highest is 8.4, studio av is 4.5
</t>
      </text>
    </comment>
    <comment authorId="9" xr:uid="{28173041-6c53-4449-bca2-68c9b98e7297}" ref="E5">
      <text>
        <t xml:space="preserve">[Threaded comment]
 Your version of Excel allows you to read this threaded comment; however, any edits to it will get removed if the file is opened in a newer version of Excel. Learn more: https://go.microsoft.com/fwlink/?linkid=870924
Comment:
	0+6.5
</t>
      </text>
    </comment>
    <comment authorId="10" xr:uid="{29b74857-f8e1-4014-b7f4-215e4b335d0b}" ref="B5">
      <text>
        <t xml:space="preserve">[Threaded comment]
 Your version of Excel allows you to read this threaded comment; however, any edits to it will get removed if the file is opened in a newer version of Excel. Learn more: https://go.microsoft.com/fwlink/?linkid=870924
Comment:
	5 (Client outreach) + 7.5 Communication and connection
</t>
      </text>
    </comment>
    <comment authorId="11" xr:uid="{2e5c2156-6c40-4e65-9636-f584ebaa7da3}" ref="O3">
      <text>
        <t xml:space="preserve">[Threaded comment]
 Your version of Excel allows you to read this threaded comment; however, any edits to it will get removed if the file is opened in a newer version of Excel. Learn more: https://go.microsoft.com/fwlink/?linkid=870924
Comment:
	Bandra av is 2.7 ( Highest is 5.2)
Kemps av is 7.7( Highest is 9.7) GREAT WORK!!
</t>
      </text>
    </comment>
    <comment authorId="12" xr:uid="{326ff5a3-c86c-4250-b911-d531186a2f9f}" ref="L3">
      <text>
        <t xml:space="preserve">[Threaded comment]
 Your version of Excel allows you to read this threaded comment; however, any edits to it will get removed if the file is opened in a newer version of Excel. Learn more: https://go.microsoft.com/fwlink/?linkid=870924
Comment:
	Bandra av is 2.6 ( Highest is 6)
Kemps av is 5.6( Highest is 7.8)
</t>
      </text>
    </comment>
    <comment authorId="13" xr:uid="{37498141-c15c-4d1b-81f6-ef0bb544f6df}" ref="D12">
      <text>
        <t xml:space="preserve">[Threaded comment]
 Your version of Excel allows you to read this threaded comment; however, any edits to it will get removed if the file is opened in a newer version of Excel. Learn more: https://go.microsoft.com/fwlink/?linkid=870924
Comment:
	0/6 class attended, 1/3 empty hour email, 0/1 meeting attendance
Reply:
	0+5
</t>
      </text>
    </comment>
    <comment authorId="14" xr:uid="{403b7075-269f-40b6-ae4d-477f17cb632c}" ref="H5">
      <text>
        <t xml:space="preserve">[Threaded comment]
 Your version of Excel allows you to read this threaded comment; however, any edits to it will get removed if the file is opened in a newer version of Excel. Learn more: https://go.microsoft.com/fwlink/?linkid=870924
Comment:
	(15 clients were reached out of 74) 
0+7.5
</t>
      </text>
    </comment>
    <comment authorId="15" xr:uid="{4d434eaa-4e7b-4664-9c5b-6b04b211f47d}" ref="Q5">
      <text>
        <t xml:space="preserve">[Threaded comment]
 Your version of Excel allows you to read this threaded comment; however, any edits to it will get removed if the file is opened in a newer version of Excel. Learn more: https://go.microsoft.com/fwlink/?linkid=870924
Comment:
	Reached out to 11 clients
</t>
      </text>
    </comment>
    <comment authorId="16" xr:uid="{4dc9873c-e8c0-4196-a62b-9d60a3e5fd5a}" ref="K3">
      <text>
        <t xml:space="preserve">[Threaded comment]
 Your version of Excel allows you to read this threaded comment; however, any edits to it will get removed if the file is opened in a newer version of Excel. Learn more: https://go.microsoft.com/fwlink/?linkid=870924
Comment:
	Bandra av is 3.6 ( Highest is 5.8)
Kemps av is 6.3( Highest is 9.6)
</t>
      </text>
    </comment>
    <comment authorId="17" xr:uid="{50bf8bf5-8163-49e7-981f-4929e1d5bb16}" ref="K12">
      <text>
        <t xml:space="preserve">[Threaded comment]
 Your version of Excel allows you to read this threaded comment; however, any edits to it will get removed if the file is opened in a newer version of Excel. Learn more: https://go.microsoft.com/fwlink/?linkid=870924
Comment:
	Class attended- 6/6, Empty hour- 3/3
Reply:
	5+5
</t>
      </text>
    </comment>
    <comment authorId="18" xr:uid="{5511ff90-9a68-4f76-b2b4-905e84542ffc}" ref="M5">
      <text>
        <t xml:space="preserve">[Threaded comment]
 Your version of Excel allows you to read this threaded comment; however, any edits to it will get removed if the file is opened in a newer version of Excel. Learn more: https://go.microsoft.com/fwlink/?linkid=870924
Comment:
	5+7.5
</t>
      </text>
    </comment>
    <comment authorId="19" xr:uid="{57f1dc54-2c1d-4638-8082-3eb6fa7d4d2e}" ref="A4">
      <text>
        <t xml:space="preserve">[Threaded comment]
 Your version of Excel allows you to read this threaded comment; however, any edits to it will get removed if the file is opened in a newer version of Excel. Learn more: https://go.microsoft.com/fwlink/?linkid=870924
Comment:
	Min target =30%
20% and above= 12.5%
15 to 19.9%= 10.5
14.9 to 10% = 7.5
5 to 9.9% = 5
1 to 4.9% = 3
under 1 = 0
</t>
      </text>
    </comment>
    <comment authorId="20" xr:uid="{659173e3-92fc-4404-994f-6ff4e6b8223c}" ref="E12">
      <text>
        <t xml:space="preserve">[Threaded comment]
 Your version of Excel allows you to read this threaded comment; however, any edits to it will get removed if the file is opened in a newer version of Excel. Learn more: https://go.microsoft.com/fwlink/?linkid=870924
Comment:
	2/9 empty hour email, 1/6 class attended, 1/1 workoshp attendance
Reply:
	0+2.5
</t>
      </text>
    </comment>
    <comment authorId="21" xr:uid="{668c07da-ad8e-4784-83cd-1e2636107c6b}" ref="L5">
      <text>
        <t xml:space="preserve">[Threaded comment]
 Your version of Excel allows you to read this threaded comment; however, any edits to it will get removed if the file is opened in a newer version of Excel. Learn more: https://go.microsoft.com/fwlink/?linkid=870924
Comment:
	0+7.5
</t>
      </text>
    </comment>
    <comment authorId="22" xr:uid="{6ae5c06c-bf68-43a0-a3a5-9e6a4cc591d2}" ref="G12">
      <text>
        <t xml:space="preserve">[Threaded comment]
 Your version of Excel allows you to read this threaded comment; however, any edits to it will get removed if the file is opened in a newer version of Excel. Learn more: https://go.microsoft.com/fwlink/?linkid=870924
Comment:
	1/1 meeting, zero empty hour, 1/6 class attended
Reply:
	0.5+5
</t>
      </text>
    </comment>
    <comment authorId="23" xr:uid="{7806af15-1b53-4169-998a-752d071426e6}" ref="G5">
      <text>
        <t xml:space="preserve">[Threaded comment]
 Your version of Excel allows you to read this threaded comment; however, any edits to it will get removed if the file is opened in a newer version of Excel. Learn more: https://go.microsoft.com/fwlink/?linkid=870924
Comment:
	5+7.5
</t>
      </text>
    </comment>
    <comment authorId="24" xr:uid="{7b821935-9151-40bf-9edc-9b153f39a89b}" ref="C5">
      <text>
        <t xml:space="preserve">[Threaded comment]
 Your version of Excel allows you to read this threaded comment; however, any edits to it will get removed if the file is opened in a newer version of Excel. Learn more: https://go.microsoft.com/fwlink/?linkid=870924
Comment:
	None of the new clients were reached out.
Reply:
	0+6.5
</t>
      </text>
    </comment>
    <comment authorId="25" xr:uid="{7ba5bcc7-cba9-4b85-9de0-8f3aac8a9f0e}" ref="L4">
      <text>
        <t xml:space="preserve">[Threaded comment]
 Your version of Excel allows you to read this threaded comment; however, any edits to it will get removed if the file is opened in a newer version of Excel. Learn more: https://go.microsoft.com/fwlink/?linkid=870924
Comment:
	Bandra retention- 60% ( 6 out of 10 returned)
Kemps Retention-50 % ( 4 out of 8 returned)
</t>
      </text>
    </comment>
    <comment authorId="26" xr:uid="{85080f35-e922-4ca6-b831-6168d8af98c9}" ref="G3">
      <text>
        <t xml:space="preserve">[Threaded comment]
 Your version of Excel allows you to read this threaded comment; however, any edits to it will get removed if the file is opened in a newer version of Excel. Learn more: https://go.microsoft.com/fwlink/?linkid=870924
Comment:
	Your av is 6.1, highest is 9.8 and studio av is 5
</t>
      </text>
    </comment>
    <comment authorId="27" xr:uid="{8785d513-b6aa-45b2-bf38-3c0dec2421ce}" ref="O4">
      <text>
        <t xml:space="preserve">[Threaded comment]
 Your version of Excel allows you to read this threaded comment; however, any edits to it will get removed if the file is opened in a newer version of Excel. Learn more: https://go.microsoft.com/fwlink/?linkid=870924
Comment:
	Kemps-0% (1 out of 8 returned)
Bandra- 0% ( 1 out of 6 returned)
</t>
      </text>
    </comment>
    <comment authorId="28" xr:uid="{885f59d5-76e6-48e8-97ae-7243a5b2c2b0}" ref="I3">
      <text>
        <t xml:space="preserve">[Threaded comment]
 Your version of Excel allows you to read this threaded comment; however, any edits to it will get removed if the file is opened in a newer version of Excel. Learn more: https://go.microsoft.com/fwlink/?linkid=870924
Comment:
	Bandra av is 2.4 ( Highest is 4.3)
Kemps av is 6.7( Highest is 7.8)
</t>
      </text>
    </comment>
    <comment authorId="29" xr:uid="{8e21f93b-481c-4176-9460-6e4b11a102f7}" ref="I12">
      <text>
        <t xml:space="preserve">[Threaded comment]
 Your version of Excel allows you to read this threaded comment; however, any edits to it will get removed if the file is opened in a newer version of Excel. Learn more: https://go.microsoft.com/fwlink/?linkid=870924
Comment:
	0/2 empty hour, 1/1 workshop, 6/6 class attended
Reply:
	5+5
</t>
      </text>
    </comment>
    <comment authorId="30" xr:uid="{914495c8-f5c5-45bc-a7c4-089d9d6eb30b}" ref="G4">
      <text>
        <t xml:space="preserve">[Threaded comment]
 Your version of Excel allows you to read this threaded comment; however, any edits to it will get removed if the file is opened in a newer version of Excel. Learn more: https://go.microsoft.com/fwlink/?linkid=870924
Comment:
	3 out of 12 returned. Your retention rate is 25%
</t>
      </text>
    </comment>
    <comment authorId="31" xr:uid="{995f654a-f639-4732-bf1e-8fe2aa80601a}" ref="M4">
      <text>
        <t xml:space="preserve">[Threaded comment]
 Your version of Excel allows you to read this threaded comment; however, any edits to it will get removed if the file is opened in a newer version of Excel. Learn more: https://go.microsoft.com/fwlink/?linkid=870924
Comment:
	Kemps-66% (2 out of 3 returned)
Bandra- 33% ( 1 out of 3 returned)
</t>
      </text>
    </comment>
    <comment authorId="32" xr:uid="{aaac97a2-6c67-4c22-9f6a-07cb86fcb938}" ref="H12">
      <text>
        <t xml:space="preserve">[Threaded comment]
 Your version of Excel allows you to read this threaded comment; however, any edits to it will get removed if the file is opened in a newer version of Excel. Learn more: https://go.microsoft.com/fwlink/?linkid=870924
Comment:
	1/1 meeting, 6/6 class attended, 7/7 empty hours
</t>
      </text>
    </comment>
    <comment authorId="33" xr:uid="{ab8a9221-549d-47f1-8063-d34d73f1da48}" ref="O5">
      <text>
        <t xml:space="preserve">[Threaded comment]
 Your version of Excel allows you to read this threaded comment; however, any edits to it will get removed if the file is opened in a newer version of Excel. Learn more: https://go.microsoft.com/fwlink/?linkid=870924
Comment:
	0+6.5
</t>
      </text>
    </comment>
    <comment authorId="34" xr:uid="{b848e7ca-2c25-4179-ad4d-92455a248ea6}" ref="Q3">
      <text>
        <t xml:space="preserve">[Threaded comment]
 Your version of Excel allows you to read this threaded comment; however, any edits to it will get removed if the file is opened in a newer version of Excel. Learn more: https://go.microsoft.com/fwlink/?linkid=870924
Comment:
	Bandra av is 2.9 ( Highest is 5.3)
Kemps av is 7.3( Highest is 8.4) Keep going!!
</t>
      </text>
    </comment>
    <comment authorId="35" xr:uid="{b9a7540e-8a7b-44bf-b6a2-721b13ff05ff}" ref="K4">
      <text>
        <t xml:space="preserve">[Threaded comment]
 Your version of Excel allows you to read this threaded comment; however, any edits to it will get removed if the file is opened in a newer version of Excel. Learn more: https://go.microsoft.com/fwlink/?linkid=870924
Comment:
	Bandra retention- 50% ( 2 out of 4 returned)
Kemps Retention-60% ( 6 out of 10 returned)
</t>
      </text>
    </comment>
    <comment authorId="36" xr:uid="{bc7ba61e-1147-4e17-8eec-46964efd287f}" ref="P12">
      <text>
        <t xml:space="preserve">[Threaded comment]
 Your version of Excel allows you to read this threaded comment; however, any edits to it will get removed if the file is opened in a newer version of Excel. Learn more: https://go.microsoft.com/fwlink/?linkid=870924
Comment:
	2/2 empty hours, 6/6 class attended, No workshop
Reply:
	5+5
</t>
      </text>
    </comment>
    <comment authorId="37" xr:uid="{c1296128-f7f8-4936-a04b-0df10789fb85}" ref="I4">
      <text>
        <t xml:space="preserve">[Threaded comment]
 Your version of Excel allows you to read this threaded comment; however, any edits to it will get removed if the file is opened in a newer version of Excel. Learn more: https://go.microsoft.com/fwlink/?linkid=870924
Comment:
	Bandra retention- 20% ( 1 out of 5 returned)
Kemps Retention-30% ( 3 out of 10 returned)
</t>
      </text>
    </comment>
    <comment authorId="38" xr:uid="{c1a87213-a8fd-46d7-be02-62d20c6530eb}" ref="E4">
      <text>
        <t xml:space="preserve">[Threaded comment]
 Your version of Excel allows you to read this threaded comment; however, any edits to it will get removed if the file is opened in a newer version of Excel. Learn more: https://go.microsoft.com/fwlink/?linkid=870924
Comment:
	1 out of 15 retained. Your retention rate is 7%
</t>
      </text>
    </comment>
    <comment authorId="39" xr:uid="{c2d33905-3889-41cb-9fe9-d9948c3b74f8}" ref="Q12">
      <text>
        <t xml:space="preserve">[Threaded comment]
 Your version of Excel allows you to read this threaded comment; however, any edits to it will get removed if the file is opened in a newer version of Excel. Learn more: https://go.microsoft.com/fwlink/?linkid=870924
Comment:
	Empty classes-5/5, Class attended-3/6, workshop 1/1
Reply:
	5+5
</t>
      </text>
    </comment>
    <comment authorId="40" xr:uid="{c531e3fd-8f08-4ffe-8eff-c78634015aeb}" ref="P3">
      <text>
        <t xml:space="preserve">[Threaded comment]
 Your version of Excel allows you to read this threaded comment; however, any edits to it will get removed if the file is opened in a newer version of Excel. Learn more: https://go.microsoft.com/fwlink/?linkid=870924
Comment:
	Bandra av is 3 ( Highest is 4.5)
Kemps av is 7.9, Yours is the highest!!GREAT WORK!!
</t>
      </text>
    </comment>
    <comment authorId="41" xr:uid="{c8b6a030-efaf-47d4-b6f2-7d7e3359395f}" ref="D4">
      <text>
        <t xml:space="preserve">[Threaded comment]
 Your version of Excel allows you to read this threaded comment; however, any edits to it will get removed if the file is opened in a newer version of Excel. Learn more: https://go.microsoft.com/fwlink/?linkid=870924
Comment:
	3 out of 16 retained. your retention rate is 19%
Reply:
	10 from hosted classes
</t>
      </text>
    </comment>
    <comment authorId="42" xr:uid="{c9f386a7-b460-456f-961a-f06b7f0c2536}" ref="C3">
      <text>
        <t xml:space="preserve">[Threaded comment]
 Your version of Excel allows you to read this threaded comment; however, any edits to it will get removed if the file is opened in a newer version of Excel. Learn more: https://go.microsoft.com/fwlink/?linkid=870924
Comment:
	Your av is 4.6, highest is 7.8 and studio av is 4.4
</t>
      </text>
    </comment>
    <comment authorId="43" xr:uid="{cd74a0b3-fa51-41be-ac84-aeca38f9d417}" ref="C4">
      <text>
        <t xml:space="preserve">[Threaded comment]
 Your version of Excel allows you to read this threaded comment; however, any edits to it will get removed if the file is opened in a newer version of Excel. Learn more: https://go.microsoft.com/fwlink/?linkid=870924
Comment:
	2 out of 11 retained. Your retention rate is 1%
</t>
      </text>
    </comment>
    <comment authorId="44" xr:uid="{d4103c2a-a109-46cd-8b56-f4383e8acd42}" ref="D5">
      <text>
        <t xml:space="preserve">[Threaded comment]
 Your version of Excel allows you to read this threaded comment; however, any edits to it will get removed if the file is opened in a newer version of Excel. Learn more: https://go.microsoft.com/fwlink/?linkid=870924
Comment:
	no new clients were reached out- 0+ 6
</t>
      </text>
    </comment>
    <comment authorId="45" xr:uid="{d8dfdc7b-a8ed-430b-8b52-77eb67b4b455}" ref="H3">
      <text>
        <t xml:space="preserve">[Threaded comment]
 Your version of Excel allows you to read this threaded comment; however, any edits to it will get removed if the file is opened in a newer version of Excel. Learn more: https://go.microsoft.com/fwlink/?linkid=870924
Comment:
	Bandra av is 4.8 ( Highest is 6.7)
Kemps av is 5.4 ( Highest is 7.9)
</t>
      </text>
    </comment>
    <comment authorId="46" xr:uid="{dd1b6467-422b-4b7a-9363-24b2da892249}" ref="P5">
      <text>
        <t xml:space="preserve">[Threaded comment]
 Your version of Excel allows you to read this threaded comment; however, any edits to it will get removed if the file is opened in a newer version of Excel. Learn more: https://go.microsoft.com/fwlink/?linkid=870924
Comment:
	5+7.5
Reply:
	reached out to 8 clients
</t>
      </text>
    </comment>
    <comment authorId="47" xr:uid="{e09e9eb9-80ce-4c9d-913f-672906ade3ef}" ref="M12">
      <text>
        <t xml:space="preserve">[Threaded comment]
 Your version of Excel allows you to read this threaded comment; however, any edits to it will get removed if the file is opened in a newer version of Excel. Learn more: https://go.microsoft.com/fwlink/?linkid=870924
Comment:
	empty hours-8/9, class attend- 6/6
Reply:
	5+5
</t>
      </text>
    </comment>
    <comment authorId="48" xr:uid="{e11c4926-0df0-4d7f-9539-8e03aebbf51f}" ref="A5">
      <text>
        <t xml:space="preserve">[Threaded comment]
 Your version of Excel allows you to read this threaded comment; however, any edits to it will get removed if the file is opened in a newer version of Excel. Learn more: https://go.microsoft.com/fwlink/?linkid=870924
Comment:
	70-100%= 5
50-69% = 2.5
30-49% = 0.5
below 30% = 0
</t>
      </text>
    </comment>
    <comment authorId="49" xr:uid="{e269b04c-baad-4eed-9af0-a12f0d1a759b}" ref="M3">
      <text>
        <t xml:space="preserve">[Threaded comment]
 Your version of Excel allows you to read this threaded comment; however, any edits to it will get removed if the file is opened in a newer version of Excel. Learn more: https://go.microsoft.com/fwlink/?linkid=870924
Comment:
	Bandra av is 2.4 ( Highest is 5.1)
Kemps av is 4.5( Highest is 7.4)
</t>
      </text>
    </comment>
    <comment authorId="50" xr:uid="{e87ded40-7e3e-4616-8ada-b940e3f7b55b}" ref="C12">
      <text>
        <t xml:space="preserve">[Threaded comment]
 Your version of Excel allows you to read this threaded comment; however, any edits to it will get removed if the file is opened in a newer version of Excel. Learn more: https://go.microsoft.com/fwlink/?linkid=870924
Comment:
	0/6 class attended, 0/1 empty hour email, 1/1 workshop attended
Reply:
	0+5
</t>
      </text>
    </comment>
    <comment authorId="51" xr:uid="{eec3dcf3-b232-45e7-9264-d3b706ca0450}" ref="L12">
      <text>
        <t xml:space="preserve">[Threaded comment]
 Your version of Excel allows you to read this threaded comment; however, any edits to it will get removed if the file is opened in a newer version of Excel. Learn more: https://go.microsoft.com/fwlink/?linkid=870924
Comment:
	empty hour-3/3, class attended-5/6, meeting- 1/1
Reply:
	5+5
</t>
      </text>
    </comment>
    <comment authorId="52" xr:uid="{f58eb39f-8bc1-4094-a0b2-b2befa88ef16}" ref="A3">
      <text>
        <t xml:space="preserve">[Threaded comment]
 Your version of Excel allows you to read this threaded comment; however, any edits to it will get removed if the file is opened in a newer version of Excel. Learn more: https://go.microsoft.com/fwlink/?linkid=870924
Comment:
	100% and above =12.5
75-99%= 10.5
60-74%= 7.5
45 to 59%= 5
30 to 44%= 3
under 30% = 0
</t>
      </text>
    </comment>
    <comment authorId="53" xr:uid="{fd47838c-5bc3-4c45-9365-bfd42979f118}" ref="P4">
      <text>
        <t xml:space="preserve">[Threaded comment]
 Your version of Excel allows you to read this threaded comment; however, any edits to it will get removed if the file is opened in a newer version of Excel. Learn more: https://go.microsoft.com/fwlink/?linkid=870924
Comment:
	Kemps-12.5% (1 out of 8 returned)
Bandra- 66% ( 2 out of 3 returned)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tc={00b8a561-3896-482f-b3db-31b19f83ac76}</author>
    <author>tc={0aa3f72f-d600-4215-8c49-a2ff622164c0}</author>
    <author>tc={1c084610-a550-46ca-ae76-7d5e1a4b3bd6}</author>
    <author>tc={24155a02-f88a-4a45-80c7-10b304475cd8}</author>
    <author>tc={2bd1f789-0c54-409d-9104-3b3092665c37}</author>
    <author>tc={39c1222b-b3d6-4527-823c-eef74fd21e1d}</author>
    <author>tc={4004d759-1764-45f9-9e60-5f985b6b02c8}</author>
    <author>tc={40186cfa-7109-4484-9fee-65c278bd1e63}</author>
    <author>tc={4b5520f4-9115-400b-a570-445e099279cf}</author>
    <author>tc={5361a973-366d-41a0-83ec-c765df58cb2d}</author>
    <author>tc={62f208b8-7bc0-4edb-90f2-0eacc6a3aa26}</author>
    <author>tc={631f16a7-00aa-41a0-a035-f0a8c3165725}</author>
    <author>tc={790731d0-8b24-4b54-b55a-240ba14f14a8}</author>
    <author>tc={8eb3fef9-0b48-4528-a239-a9b33dcced45}</author>
    <author>tc={9da3ff50-5c35-42dd-acf9-acb7827b2abd}</author>
    <author>tc={a503622b-e0f3-43f0-9465-e4da33f27b2f}</author>
    <author>tc={a51a1f1e-c070-4c52-be03-8268d82f7e74}</author>
    <author>tc={b65deeba-3fbe-4645-9dd7-0fc1421f2bc2}</author>
    <author>tc={bdc74b7e-b6a5-4610-9eec-e25b000c7e47}</author>
    <author>tc={d412cfa9-1a23-424e-a763-249f9e4b524e}</author>
    <author>tc={d73291a9-e02c-49d0-97ac-b9fde31afd90}</author>
    <author>tc={e2649877-3328-46bb-b92b-46afe3778490}</author>
    <author>tc={e65eecfb-b3bd-41e2-8477-7af852a99281}</author>
    <author>tc={f7c64a75-91f7-44cb-b13c-9838f5569954}</author>
  </authors>
  <commentList>
    <comment authorId="0" xr:uid="{00b8a561-3896-482f-b3db-31b19f83ac76}" ref="C3">
      <text>
        <t xml:space="preserve">[Threaded comment]
 Your version of Excel allows you to read this threaded comment; however, any edits to it will get removed if the file is opened in a newer version of Excel. Learn more: https://go.microsoft.com/fwlink/?linkid=870924
Comment:
	Bandra av is 2.9 ( Highest is 5.4)
Kemps av is 8.2, Yours is the highest!! yayy!!
</t>
      </text>
    </comment>
    <comment authorId="1" xr:uid="{0aa3f72f-d600-4215-8c49-a2ff622164c0}" ref="H1">
      <text>
        <t xml:space="preserve">[Threaded comment]
 Your version of Excel allows you to read this threaded comment; however, any edits to it will get removed if the file is opened in a newer version of Excel. Learn more: https://go.microsoft.com/fwlink/?linkid=870924
Comment:
	Barre57 9th May Kemps
</t>
      </text>
    </comment>
    <comment authorId="2" xr:uid="{1c084610-a550-46ca-ae76-7d5e1a4b3bd6}" ref="A5">
      <text>
        <t xml:space="preserve">[Threaded comment]
 Your version of Excel allows you to read this threaded comment; however, any edits to it will get removed if the file is opened in a newer version of Excel. Learn more: https://go.microsoft.com/fwlink/?linkid=870924
Comment:
	70-100%= 5
50-69% = 2.5
30-49% = 0.5
below 30% = 0
</t>
      </text>
    </comment>
    <comment authorId="3" xr:uid="{24155a02-f88a-4a45-80c7-10b304475cd8}" ref="H4">
      <text>
        <t xml:space="preserve">[Threaded comment]
 Your version of Excel allows you to read this threaded comment; however, any edits to it will get removed if the file is opened in a newer version of Excel. Learn more: https://go.microsoft.com/fwlink/?linkid=870924
Comment:
	3 of 22
1 of 8
13%
</t>
      </text>
    </comment>
    <comment authorId="4" xr:uid="{2bd1f789-0c54-409d-9104-3b3092665c37}" ref="I3">
      <text>
        <t xml:space="preserve">[Threaded comment]
 Your version of Excel allows you to read this threaded comment; however, any edits to it will get removed if the file is opened in a newer version of Excel. Learn more: https://go.microsoft.com/fwlink/?linkid=870924
Comment:
	8.1 Kemps
4.0 Bandra
6.0 Total
</t>
      </text>
    </comment>
    <comment authorId="5" xr:uid="{39c1222b-b3d6-4527-823c-eef74fd21e1d}" ref="C12">
      <text>
        <t xml:space="preserve">[Threaded comment]
 Your version of Excel allows you to read this threaded comment; however, any edits to it will get removed if the file is opened in a newer version of Excel. Learn more: https://go.microsoft.com/fwlink/?linkid=870924
Comment:
	Meetings/workshop- 5/5, class attended-3/4, Empty hour-1/1
Reply:
	5+5
</t>
      </text>
    </comment>
    <comment authorId="6" xr:uid="{4004d759-1764-45f9-9e60-5f985b6b02c8}" ref="C5">
      <text>
        <t xml:space="preserve">[Threaded comment]
 Your version of Excel allows you to read this threaded comment; however, any edits to it will get removed if the file is opened in a newer version of Excel. Learn more: https://go.microsoft.com/fwlink/?linkid=870924
Comment:
	0+6.5 (no outreach sent)
</t>
      </text>
    </comment>
    <comment authorId="7" xr:uid="{40186cfa-7109-4484-9fee-65c278bd1e63}" ref="G1">
      <text>
        <t xml:space="preserve">[Threaded comment]
 Your version of Excel allows you to read this threaded comment; however, any edits to it will get removed if the file is opened in a newer version of Excel. Learn more: https://go.microsoft.com/fwlink/?linkid=870924
Comment:
	11th April Cardio Barre Kemps
</t>
      </text>
    </comment>
    <comment authorId="8" xr:uid="{4b5520f4-9115-400b-a570-445e099279cf}" ref="D12">
      <text>
        <t xml:space="preserve">[Threaded comment]
 Your version of Excel allows you to read this threaded comment; however, any edits to it will get removed if the file is opened in a newer version of Excel. Learn more: https://go.microsoft.com/fwlink/?linkid=870924
Comment:
	2/3- workshop, 1/1 empty hour, 6/6 class attended
</t>
      </text>
    </comment>
    <comment authorId="9" xr:uid="{5361a973-366d-41a0-83ec-c765df58cb2d}" ref="E3">
      <text>
        <t xml:space="preserve">[Threaded comment]
 Your version of Excel allows you to read this threaded comment; however, any edits to it will get removed if the file is opened in a newer version of Excel. Learn more: https://go.microsoft.com/fwlink/?linkid=870924
Comment:
	6.7 Kemps
3.9 Bandra
5.8 Total
</t>
      </text>
    </comment>
    <comment authorId="10" xr:uid="{62f208b8-7bc0-4edb-90f2-0eacc6a3aa26}" ref="A3">
      <text>
        <t xml:space="preserve">[Threaded comment]
 Your version of Excel allows you to read this threaded comment; however, any edits to it will get removed if the file is opened in a newer version of Excel. Learn more: https://go.microsoft.com/fwlink/?linkid=870924
Comment:
	100% and above =12.5
75-99%= 10.5
60-74%= 7.5
45 to 59%= 5
30 to 44%= 3
under 30% = 0
</t>
      </text>
    </comment>
    <comment authorId="11" xr:uid="{631f16a7-00aa-41a0-a035-f0a8c3165725}" ref="D4">
      <text>
        <t xml:space="preserve">[Threaded comment]
 Your version of Excel allows you to read this threaded comment; however, any edits to it will get removed if the file is opened in a newer version of Excel. Learn more: https://go.microsoft.com/fwlink/?linkid=870924
Comment:
	Kemps- 4.7% (1 out of 21 returned)
Bandra- 33% (  2 out of 6 returned)
Reply:
	Sneha and Yash
</t>
      </text>
    </comment>
    <comment authorId="12" xr:uid="{790731d0-8b24-4b54-b55a-240ba14f14a8}" ref="D3">
      <text>
        <t xml:space="preserve">[Threaded comment]
 Your version of Excel allows you to read this threaded comment; however, any edits to it will get removed if the file is opened in a newer version of Excel. Learn more: https://go.microsoft.com/fwlink/?linkid=870924
Comment:
	Bandra av is 3.8 ( Highest is 4.6)
Kemps av is 8, Yours is the highest!! yayy!
</t>
      </text>
    </comment>
    <comment authorId="13" xr:uid="{8eb3fef9-0b48-4528-a239-a9b33dcced45}" ref="B5">
      <text>
        <t xml:space="preserve">[Threaded comment]
 Your version of Excel allows you to read this threaded comment; however, any edits to it will get removed if the file is opened in a newer version of Excel. Learn more: https://go.microsoft.com/fwlink/?linkid=870924
Comment:
	5 (Client outreach) + 7.5 Communication and connection
</t>
      </text>
    </comment>
    <comment authorId="14" xr:uid="{9da3ff50-5c35-42dd-acf9-acb7827b2abd}" ref="A4">
      <text>
        <t xml:space="preserve">[Threaded comment]
 Your version of Excel allows you to read this threaded comment; however, any edits to it will get removed if the file is opened in a newer version of Excel. Learn more: https://go.microsoft.com/fwlink/?linkid=870924
Comment:
	Min target =30%
20% and above= 12.5%
15 to 19.9%= 10.5
14.9 to 10% = 7.5
5 to 9.9% = 5
1 to 4.9% = 3
under 1 = 0
</t>
      </text>
    </comment>
    <comment authorId="15" xr:uid="{a503622b-e0f3-43f0-9465-e4da33f27b2f}" ref="I4">
      <text>
        <t xml:space="preserve">[Threaded comment]
 Your version of Excel allows you to read this threaded comment; however, any edits to it will get removed if the file is opened in a newer version of Excel. Learn more: https://go.microsoft.com/fwlink/?linkid=870924
Comment:
	7 of 26 Kemps
1 of 8 Bandra
26%
</t>
      </text>
    </comment>
    <comment authorId="16" xr:uid="{a51a1f1e-c070-4c52-be03-8268d82f7e74}" ref="G3">
      <text>
        <t xml:space="preserve">[Threaded comment]
 Your version of Excel allows you to read this threaded comment; however, any edits to it will get removed if the file is opened in a newer version of Excel. Learn more: https://go.microsoft.com/fwlink/?linkid=870924
Comment:
	Kemps: 8
Bandra: 3.7
Total 5.9
</t>
      </text>
    </comment>
    <comment authorId="17" xr:uid="{b65deeba-3fbe-4645-9dd7-0fc1421f2bc2}" ref="I12">
      <text>
        <t xml:space="preserve">[Threaded comment]
 Your version of Excel allows you to read this threaded comment; however, any edits to it will get removed if the file is opened in a newer version of Excel. Learn more: https://go.microsoft.com/fwlink/?linkid=870924
Comment:
	0 of 1 empty assignment submitted
3 of 4 classes taken
</t>
      </text>
    </comment>
    <comment authorId="18" xr:uid="{bdc74b7e-b6a5-4610-9eec-e25b000c7e47}" ref="C4">
      <text>
        <t xml:space="preserve">[Threaded comment]
 Your version of Excel allows you to read this threaded comment; however, any edits to it will get removed if the file is opened in a newer version of Excel. Learn more: https://go.microsoft.com/fwlink/?linkid=870924
Comment:
	Kemps- 0% (0 out of 11 returned)
Bandra- 100% ( 1 out of 1 returned)
</t>
      </text>
    </comment>
    <comment authorId="19" xr:uid="{d412cfa9-1a23-424e-a763-249f9e4b524e}" ref="A12">
      <text>
        <t xml:space="preserve">[Threaded comment]
 Your version of Excel allows you to read this threaded comment; however, any edits to it will get removed if the file is opened in a newer version of Excel. Learn more: https://go.microsoft.com/fwlink/?linkid=870924
Comment:
	70-100%= 5
50-69% = 2.5
30-49% = 0.5
below 30% = 0
</t>
      </text>
    </comment>
    <comment authorId="20" xr:uid="{d73291a9-e02c-49d0-97ac-b9fde31afd90}" ref="G4">
      <text>
        <t xml:space="preserve">[Threaded comment]
 Your version of Excel allows you to read this threaded comment; however, any edits to it will get removed if the file is opened in a newer version of Excel. Learn more: https://go.microsoft.com/fwlink/?linkid=870924
Comment:
	3 of 7 returned in Kemps
3 of 12 returned in Bandra
Total 31%
</t>
      </text>
    </comment>
    <comment authorId="21" xr:uid="{e2649877-3328-46bb-b92b-46afe3778490}" ref="D5">
      <text>
        <t xml:space="preserve">[Threaded comment]
 Your version of Excel allows you to read this threaded comment; however, any edits to it will get removed if the file is opened in a newer version of Excel. Learn more: https://go.microsoft.com/fwlink/?linkid=870924
Comment:
	2.5+7.5 ( reached out to 14 clients)
12 clients from hosted class at kemps
</t>
      </text>
    </comment>
    <comment authorId="22" xr:uid="{e65eecfb-b3bd-41e2-8477-7af852a99281}" ref="H3">
      <text>
        <t xml:space="preserve">[Threaded comment]
 Your version of Excel allows you to read this threaded comment; however, any edits to it will get removed if the file is opened in a newer version of Excel. Learn more: https://go.microsoft.com/fwlink/?linkid=870924
Comment:
	7.7 Kemps
5.2 Bandra
6.5 total
</t>
      </text>
    </comment>
    <comment authorId="23" xr:uid="{f7c64a75-91f7-44cb-b13c-9838f5569954}" ref="E4">
      <text>
        <t xml:space="preserve">[Threaded comment]
 Your version of Excel allows you to read this threaded comment; however, any edits to it will get removed if the file is opened in a newer version of Excel. Learn more: https://go.microsoft.com/fwlink/?linkid=870924
Comment:
	2 of 9 in Kemps
0 of 7 in Bandra
2 of 16 total = 12.5 %
</t>
      </text>
    </comment>
  </commentList>
</comments>
</file>

<file path=xl/sharedStrings.xml><?xml version="1.0" encoding="utf-8"?>
<sst xmlns="http://schemas.openxmlformats.org/spreadsheetml/2006/main" count="194" uniqueCount="128">
  <si>
    <t>Jan</t>
  </si>
  <si>
    <t>Feb</t>
  </si>
  <si>
    <t>March</t>
  </si>
  <si>
    <t>April</t>
  </si>
  <si>
    <t>May</t>
  </si>
  <si>
    <t>June</t>
  </si>
  <si>
    <t>July</t>
  </si>
  <si>
    <t>Aug</t>
  </si>
  <si>
    <t>Sept</t>
  </si>
  <si>
    <t>Oct</t>
  </si>
  <si>
    <t>Nov</t>
  </si>
  <si>
    <t>Dec</t>
  </si>
  <si>
    <t>Average for 2023</t>
  </si>
  <si>
    <t>Total no. of classes taught Kemps</t>
  </si>
  <si>
    <t>Avg attendance Kemps</t>
  </si>
  <si>
    <t>NA</t>
  </si>
  <si>
    <t>Avg attendance growth percentage</t>
  </si>
  <si>
    <t>+60.1%</t>
  </si>
  <si>
    <t>+17.78%</t>
  </si>
  <si>
    <t>+13.21%</t>
  </si>
  <si>
    <t>+23.08%</t>
  </si>
  <si>
    <t>+10.42%</t>
  </si>
  <si>
    <t>+6%</t>
  </si>
  <si>
    <t>Avg conversion rate</t>
  </si>
  <si>
    <t>Total no. of classes taught Mews</t>
  </si>
  <si>
    <t>Avg attendance Mews</t>
  </si>
  <si>
    <t>+0.4%</t>
  </si>
  <si>
    <t>+40%</t>
  </si>
  <si>
    <t>Na</t>
  </si>
  <si>
    <t>+25%</t>
  </si>
  <si>
    <t>+1.2%</t>
  </si>
  <si>
    <t>Total Empty classes</t>
  </si>
  <si>
    <t>Class assignment</t>
  </si>
  <si>
    <t>No. of class taken</t>
  </si>
  <si>
    <t>TA</t>
  </si>
  <si>
    <t>6 as TA</t>
  </si>
  <si>
    <t>Meeting attendance</t>
  </si>
  <si>
    <t>Client Feedback</t>
  </si>
  <si>
    <t>Barre classes are promising and precise. There are clients who love the infectious energy. There are some who like it but also need a more commanding energy from the trainer so they are able to get the most out of the class. Advanced classes need more grounded energy. Choreography is creative and engaging.</t>
  </si>
  <si>
    <t>All good!</t>
  </si>
  <si>
    <t>great transformation!</t>
  </si>
  <si>
    <t>All good</t>
  </si>
  <si>
    <t>In bangalore</t>
  </si>
  <si>
    <t xml:space="preserve">In bangalore </t>
  </si>
  <si>
    <t>Internal feedback</t>
  </si>
  <si>
    <t xml:space="preserve">Internal feedback is consistent with the client feedback. We think classes are great but the command in the room is an area that can be worked upon with a little more focus. </t>
  </si>
  <si>
    <t>Your classes are filling up, so thats a great sign. Your Mat choreo is getting creative with every class, so keep that up. I would say keep the focus towards finding the rythm of the class with those creative choreos. More minfdulf hands on in class. Can have more command in the room. You have all the knowledge to TEACH a set but in higher level is all about how you teach it. More grounded when you have difficult clients the room.</t>
  </si>
  <si>
    <t xml:space="preserve">You have always a very simple way of explaining science. The information in the class flows naturally. You need to find different ways to connect with clients ( info is one way). Dig deeper and start to motivate your room. At the end of the day they will remember how you made them feel. Pls upate about certification. </t>
  </si>
  <si>
    <t>Feedback is similar to the previous month. There is def some improvement in client connection and having fun in the class. Your focus should be finding CC through motivation and empathy</t>
  </si>
  <si>
    <t>More creativity in class with consistency. Very thorough cues and great client connection. More energy while teaching your class. Following professional etiquette while sending texts/emails</t>
  </si>
  <si>
    <t xml:space="preserve">You have the least amount of empty classes. Focus on bringing the rooms energy up by choosing music that pushes you. </t>
  </si>
  <si>
    <t xml:space="preserve">Great job bringing the attendance up. look into your workshop attendance. </t>
  </si>
  <si>
    <t>Ending the year with a new experince in a new city. Great job handling the role of a TA well and being a great and a reliable resource to the company. Achivements this year- Completed your certification, New role of a TA, trainered in almost all the levels,maintained a good attendance, build batches from scratch, completed 3 years with P57!</t>
  </si>
  <si>
    <t>Focus points</t>
  </si>
  <si>
    <t>1. Creative choreography sequencing (finding balance) 2. Scientific rhetoric - keep reading, use the mirror for talk points in class 3. Increasing class avg.- Hold clients accountable to show up/ level up</t>
  </si>
  <si>
    <t>1. Taking more classes 2. Exercises to increase command</t>
  </si>
  <si>
    <t>You are doing very well with training the new team.Building a very good rapport with the team and is projecting herself as a good leader. When dealing with crisis can be more clam.</t>
  </si>
  <si>
    <t>1. attendance 2.working out</t>
  </si>
  <si>
    <t>Same as previous Month</t>
  </si>
  <si>
    <t>Goals</t>
  </si>
  <si>
    <t xml:space="preserve">1. Certification (May'23) </t>
  </si>
  <si>
    <t>1. Certification complete by 2nd week of June'23</t>
  </si>
  <si>
    <t>1. Certification BFY Aug'23</t>
  </si>
  <si>
    <t>Paper on 8th of August</t>
  </si>
  <si>
    <t>Certification 2nd sep '23</t>
  </si>
  <si>
    <t xml:space="preserve"> certification Dec'23</t>
  </si>
  <si>
    <t>Pranjalis request for us to speak to clients who regularly attend her class. Watch some of her classes for any additional feedback.</t>
  </si>
  <si>
    <t>Physique57 India Trainer Performance Review</t>
  </si>
  <si>
    <t>Trainer Name- Pranjali Jain</t>
  </si>
  <si>
    <t>Physique57 Weighting</t>
  </si>
  <si>
    <t>Category</t>
  </si>
  <si>
    <t>Performance</t>
  </si>
  <si>
    <t>Comments</t>
  </si>
  <si>
    <t>Client attendance</t>
  </si>
  <si>
    <t>In 2023, your class attendance averaged to 4.5 which is 76% of your target score. On an average you saw a 7% growth in your attendance. Congratulations!</t>
  </si>
  <si>
    <t>Client Retention</t>
  </si>
  <si>
    <t>You had some stellar months in 2023 which have helped you secure the top retention rate across the board (two years in a row now) at 28%! You are on a hattrick. Keep up your fantastic work!</t>
  </si>
  <si>
    <t>Client Connection and communication (pre and post class interaction and interpersonal skills)</t>
  </si>
  <si>
    <t>Your approachable personality and willingness to help clients both inside and outside of the studio selflesslesly is worthy of praise. I hope in 2024 you will also mindfully update the sheet prepared by Jimmeey as this will be tracked more thoroughly. Now that you are certified I hope that you will use your knowledge to guide your clients with specific goals in a more structured fashion. We love that you use your curiosity in a productive manner.</t>
  </si>
  <si>
    <t>Client feedback</t>
  </si>
  <si>
    <t xml:space="preserve">Even though the year started off slightly rough, you were able to turn things around in the summer. What seemed to have changed the game for you was participating as aTraining Associate. Your hard-work, attention to detail and ability to deliver classes as per global standards got you immense praise not only among new and seasoned clients in Bombay but also in Bangalore. We couldn't be happier. </t>
  </si>
  <si>
    <t>Mindful moment/ USP Integration/ Motivation</t>
  </si>
  <si>
    <t>Your ability to connect with your room more organically is your strong suit. Do find opportunities to inspire your room through mindful moments in your entries and exits more consistently. You have a skill to educate our clients about our method through simple anecdotes often. Good Job!</t>
  </si>
  <si>
    <t>Musicality</t>
  </si>
  <si>
    <t>There is trememdous development in this region. Well done!</t>
  </si>
  <si>
    <t>Energy and Vocals (Inflection, intonation and enunciation)</t>
  </si>
  <si>
    <t>We are aware of how much you have worked on maintaining your bubbly personality while still finding more command in the room. Your energy is infectious while you are increasingly able to play with the ebbs and flows of the music and class especially in the beginner formats. Advanced classes can use the same sort of attention to detail. Stay consistent.</t>
  </si>
  <si>
    <t>Choreography and sequencing</t>
  </si>
  <si>
    <t xml:space="preserve">The 2nd half of the year saw an upswing in how you celeverly programmed your classes. You were able to attain equilibrium between creativity and effectiveness. Do be mindful of level appropriation in order to set up your team and your clients for success. </t>
  </si>
  <si>
    <t>Learning styles and Use of names: Kinesthetic and tactile (hands-on), visual (demos and imagery), auditory (repitition of information</t>
  </si>
  <si>
    <t>Your demonstrations and set-ups are clear and well executed. Do use Hands-on tools to help clients get deeper in their position which is directly proportional to results. Repeating cues in different ways also via use of imagery can be very useful for both visual and auditory learners.</t>
  </si>
  <si>
    <t>Classes, workshops, meetings attended and empty class assignments (5 points)/ Work ethics and Core values</t>
  </si>
  <si>
    <t xml:space="preserve">You secured a total of 63% based on your total no. of empty hour submissions and meeting/ workshops/ classes attended. We are aware and respect how much you value your time. Hence, we are particulary grateful for your efforts to go above and beyond to try and help junior members of the team to level up. Your actions this year aligned with a lot of things we wish to see among our existing and future teammates such as being proactive (designing the new timesheet, spending time in training the team outside of TA hours). We are also thrilled you finished your certification in your first attempt. We wish you all the very best for your future at Physique57 India and hope that you will continue to take up more opportunities within the organisation that help you thrive and grow. </t>
  </si>
  <si>
    <t>Total</t>
  </si>
  <si>
    <t>Comments/ Highlights</t>
  </si>
  <si>
    <t>You taught a total of 591 classes in 2023 which is the second highest number of classes taught on the schedule. Your avg class attendance is third from the top. Your retention average was consistently close to or above average for the most part throughout the year which has helped you secure the highest score for the year. With a certification under your belt and the experience of being an integral part of training the Bangalore team and launch of the Bangalore studio, I hope you can look back and agree you had a fabulous year! Take a bow!</t>
  </si>
  <si>
    <t>TOTAL</t>
  </si>
  <si>
    <t>August</t>
  </si>
  <si>
    <t xml:space="preserve">September </t>
  </si>
  <si>
    <t xml:space="preserve">October </t>
  </si>
  <si>
    <t>November</t>
  </si>
  <si>
    <t xml:space="preserve">December </t>
  </si>
  <si>
    <t>Weightage</t>
  </si>
  <si>
    <t xml:space="preserve">Client Retention </t>
  </si>
  <si>
    <t>Client Outreach,communication and connection (pre and post class interaction and interpersonal skills)</t>
  </si>
  <si>
    <t>Mindful moment/ USP integration/ Motivation</t>
  </si>
  <si>
    <t xml:space="preserve">Musicality </t>
  </si>
  <si>
    <t>Energy and Vocals (inflection, intonation, enunciation)</t>
  </si>
  <si>
    <t>Choreography/ Sequencing</t>
  </si>
  <si>
    <t>Learning Styles and use of names: Kinesthetic &amp; tactile (hands-on), visual (demos and imagery), auditory (repetition of information)</t>
  </si>
  <si>
    <t>Classes, workshops, meetings attended and empty hour submission (5 points)/ Work ethics and Core values (5 points)</t>
  </si>
  <si>
    <t>from 74 to 86 after retention revision*</t>
  </si>
  <si>
    <t>In January, your performances in Sweat and two Amped Up classes showcased your exceptional client connection, greatly attributed to your bubbly personality before and after class. To elevate your impact, consider enhancing connection during the faster-paced classes. Client feedback has been largely positive, with your natural approach to mindful moments and motivation resonating well as genuine and relatable. However, there's a need for better integration of the USP's, emphasizing the brand and benefits of the workout more diversely.Musically, your choices have been commendable, yet exploring new genres that challenge you could further enrich your classes. Your energy, vocal clarity, and intonation are strengths, but choreography and sequencing in Amped classes require more consistency. Assess the feasibility of the choreography to ensure they're achievable and efficient. Your hands-on approach, use of imagery, and audio cues are effective in explaining movements clearly. To enhance the personalized feel in larger classes, aim to use everyone's names, further strengthening your already excellent client rapport.</t>
  </si>
  <si>
    <t>Your performance in Cardio Barre and Amped Up classes for February reflects consistent trends observed in the previous month. In advanced classes, the emphasis on choreography remains prominent, while intermediate classes successfully incorporate a fun element and a stronger scientific basis. A key area for improvement is empathy; there's a need to more deeply empathize with your clients, understanding their needs and the appropriate encouragement they require at different moments. To enhance the class experience further, adopting a more relaxed approach and immersing yourself in the class dynamics could prove beneficial. This would not only improve your delivery but also ensure the experience you provide mirrors the one you enjoy as an instructor. Your client connection continues to impress, and your musicality is exceptional, greatly enriching the class atmosphere. Your explanations of sets are clear and effective, yet there's room to incorporate more imagery tailored to the class level, adding depth to the instructions. While your vocal delivery is strong, varying your tone to include softer, more empathetic nuances could break any monotony, making your guidance more resonant and impactful.</t>
  </si>
  <si>
    <t xml:space="preserve">This month's review for your Amped Up and Sweat classes highlights your natural ability to connect with clients before and after class, with overall positive feedback. Your motivational efforts shone in the Sweat class and showed promise in the Amped Up class. There's room to enhance the USP presentation in both classes, particularly by incorporating more detailed explanations in Sweat sessions. While your energy and vocal delivery were commendable across both classes, your playlist could benefit from more variety to avoid repetition. The choreography in the Amped Up class was notably creative; however, remember to balance the workout to avoid consecutive leg-intensive circuits in Sweat. Your use of names made a significant impact in Sweat classes, and while your visual and audio cues are effective, integrating more imagery could enrich the instruction. Please note the late arrivals on the 19th, 11th, and 5th of March. </t>
  </si>
  <si>
    <t>Your review for the Cardio Barre and Amped Up classes shows some strong points and areas for improvement. You’ve established excellent client connections both before and after class, and feedback has been generally positive. It’s great to see you maintaining mindful moments throughout the class, though it seems like your motivation really kicks in towards the end of the sets. Try to bring that energy a bit earlier and work on infusing more empathy into your interactions.
One thing I noticed was the lack of discussion about our USP's. Including these could really help clients understand the value of what they’re doing. Your musical choices were spot on, and your energy and vocal enthusiasm added a lot to the class atmosphere.
The choreography for both classes was solid, although the reset between thigh sets in the express format left me a bit puzzled. While your auditory cues were consistent and helpful across both classes, your hands-on guidance was much less in Amped Up compared to the Cardio Barre class. Also, making an effort to use more names during sessions will help personalize the experience even further. Great job overall, just a few tweaks could make your classes even better!</t>
  </si>
  <si>
    <t xml:space="preserve">Your review is based on CB+ class-You kicked off the class with great urgency and info, but remember to catch your breath and balance cues with breathing. We usually include mindful moments during the final 10 of the warmup, so try to incorporate those more consistently. Your motivation needs to be more in challenging classes—keep that energy up! Good hands-on adjustments in the thighs for range of motion, but don't forget to use client names more often and provide hands for challenge. There was a bit of inconsistency during FBC, with some clients doing swivel reps with flat feet instead. More form corrections are needed, especially for swivel chair positions and the fourth water ski combo set. Make sure to clearly explain what’s working well to keep clients motivated. Your transitions were smooth, and the motivation in TD was great, but try to use more moments of silence to let clients focus on their movements. Personalized form corrections are key, so keep offering those. Loved the mindful movements on the left side glutes—keep finding those moments for clients to reflect on their journey. Great job overall, and keep pushing for improvement!
</t>
  </si>
  <si>
    <t>Great job on the class! I could tell you were really attentive to everyone's injuries and checked in with everyone, creating a personal connection. You did a fantastic job with hands-on adjustments and providing information. However, you can be more musical – at times, the music felt like background noise, and there are parts of the class where it can really drive the energy. Towards the end, I felt a drop in energy with your body language. The silences in the second half were effective, and overall, it was a solid Barre 57 class with most of the key elements. Maybe consider deviating with a classic glute set next time for variety. Keep up the great work!</t>
  </si>
  <si>
    <t>Review for your Mat class-Make sure to place your room properly; everyone was lying down in different directions. Good info on creating pressure on abs and great job being hands-on at the beginning of the class. Your warmup was about 10 minutes long, which is a bit much for mat since we also do the series of 5 later. You showed great attention to clients and provided good explanations for better ROM. Nice job taking names and giving clear cues. You can work with more silences between sentences to keep the flow natural. Hands-on in thighs was good, and the progression for sets was easy to follow. You did well encouraging clients to attempt the moves. I didn't hear claps much, which can help with silences and keep the energy up. There was a long gap before starting glutes, but glutes were well executed. The ending could have been more dynamic instead of jogging in FP. Overall, great motivation and energy.
For the Sweat class, you were talking too much. The program design could be better, e.g., avoid having squats and surrender knees back to back. The choreography needs to be level-appropriate; kick with squat jump is a lot for beginners.</t>
  </si>
  <si>
    <t>CB-Great energy to kick off the class, and I loved how you layered up the moves with solid hands-on adjustments. Your explanations on improving form were spot on, and it was great to hear you using names and keeping the motivation up. A bit more silence and some claps would add even more to the atmosphere, especially during the F10 drama in the warmup! You did a good job with hands-on corrections to steady the front shin in lunges, but don't forget to guide hips down in the knee drive.
Even though it was a smaller group with newer CB clients, there were still some chances for more hands-on corrections. You kept the urgency going and stayed consistent with using names, but I missed hearing about what’s working and the benefits of each move. Thigh Dance could have used a bit more fun energy instead of matching the same vibe as the thigh set. In glutes, you really let your personality shine—it was fun to watch! However, make sure to mix in more hands-on corrections and not just verbal cues; there’s no need to do most of the workout with them. Ab sets lacked hands-on guidance too, though the client connection throughout was strong, and it was nice to finally hear some claps on the left side of glutes. No hands-on in curls, but you finished with great energy.</t>
  </si>
  <si>
    <t>Mat 57 express-Your September review is looking solid! You had very creative sets and paid great attention to your clients' form, which really showed how much you care about their progress. The client connection was strong, and I appreciated the good heads-up before transitions.
However, I still feel the music is more in the background when it could really be driving certain parts of the class. Try finding a moment in class where the energy shifts because of the music—it could take things up a notch.
Also, maybe add a touch of empathy, especially since the ab sets were super challenging. It’s awesome that every move was informative and well-layered, and I loved how you cranked up the music during mountain climbers. That was a great push!
The lunge set could’ve been a bit longer—let clients reach the point where they’re really struggling, that’s where the magic happens. You can educate the clients more on the benefit of reaching that point with their muscles. Glutes flowed well, and your hands-on corrections were on point. I’d love to see more hands-on for challenge moments too. The finisher with curl was fantastic, really tied everything together. FOCUS POINTS: Motivation, USP, hands on for challenge, Music driving the class</t>
  </si>
  <si>
    <t xml:space="preserve"> Barre at Kemps-Great job introducing yourself to every client as they walk in—it sets a welcoming tone right from the start. The flow of the warmup was solid, though it might help to give new clients a heads-up on how they’re going to feel, so they know what to expect. Your teaching of the thigh set was very clear, almost like Foundations.
You were attentive to each client, moving around the room with good hands-on adjustments. It might be helpful to focus even more on new clients, especially when you notice someone struggling. Engaging with them by name and giving that extra support could make them feel even more welcome. I loved the personal touches, like sharing your experience with P57—it makes you relatable and approachable.
The class had a lot of fun moments and solid instruction, especially in abs and glutes, where you kept moving to give attention to everyone. However, the P57 rhetoric was missing a bit. Try weaving in more “whys” about the method and its benefits. Overall, it was a strong class with excellent client connection; just work on adding that layer of education about the method to enhance the experience.
Barre at Bandra-You had three new clients, and your pace was spot-on for the class—well done! The warm-up was engaging and full of energy, setting a great tone for the rest of the class. There was fantastic drama throughout, which kept everyone hooked. I’d suggest incorporating a bit about the brand and maybe mentioning each client’s goals if you checked them on Momence beforehand; that could help tailor your rhetoric based on what they’re aiming for.
Your cues were clear and precise. For the thigh set, you did a great job starting with a small range of motion, then moving into slower and faster reps in the second set. Excellent attention to clients and good use of their names kept everyone motivated. Your one-liners were spot-on for motivation, and I loved that you finally brought up the benefits of the class during thigh dance. It’d be awesome to reinforce that it gets better with time and to loop back to the concept of overload from the intro when they’re feeling it.
Abs were solid, and your hands-on for glutes challenges were on point. Cues were thorough, though there was a bit of “I know” instead of “you know why?”—just remember, that’s your chance to share info and keep them informed. Your energy was a lot of fun, creating a great connection with the clients. Try experimenting with different music genres too—it could add another layer of excitement.
Also, I am very worried about your retention rate thhis month. What happened? pls write to me.</t>
  </si>
  <si>
    <t xml:space="preserve"> TWO CB EXPRESS CLASSES-Your classes have great flow and choreography, and you consistently show strong attention to your clients—your hands-on corrections were particularly great! I also loved the clear cues you gave for muscle engagement and the effort you put into motivating clients to push harder. Your voice has great energy, which helps drive the class, and your playlist was peppy and fun, adding to the overall vibe.
That said, there’s room to add more urgency, especially in the warmup. At 13-14 minutes long, it felt a bit drawn out and could benefit from sharper pacing and perhaps an ab set to set the tone for the class. Make sure to slow down when speaking so your rhetoric lands clearly—it’s important for clients to catch all the great information you’re sharing.
In thighs, you provided solid cues, but more layer-ups and cardio elements could’ve made it more challenging for the room. While your hands-on corrections were excellent, hands-on for challenges felt a bit sparse, especially in glutes. Transitions between sections could also be tighter, as the breaks felt a bit too long at times, which impacted the overall urgency and intensity.
Your energy and motivation during curls and F10 were strong, but the set was a little short, and the finale could’ve been more dynamic. Finally, remember to tie your rhetoric to the music theme, as it helps create a more cohesive class experience. Overall, you’re delivering well-structured and engaging classes—keep focusing on bringing urgency, more layer-ups, and perfectly timed rhetoric to take your classes to the next level!</t>
  </si>
  <si>
    <t>Trainers choice:Your explanation of the class plan was clear and set expectations well, but the structure felt more like a sequence of moves rather than a true circuit, as nothing was repeated. For strength-based moves, 40 seconds is too short, especially if they’re only being done once—it doesn’t allow enough time to overload the muscles effectively. I did appreciate the alternation between high-impact and low-impact moves, which created a good balance.
You mentioned overload, but it wasn’t clear which specific muscle groups were being targeted. Moves like mountain climbers and downward dog knee-to-opposite knee were both abs and back-focused, placed back-to-back, which could use better spacing. Additionally, splitting moves into right and left sides added to the confusion in structure, making it harder to follow.
The lack of proper recovery time was noticeable, with only 15-second resets between moves throughout the class. A structured recovery period would allow clients to push harder during the working intervals. Also, consider moving glute-focused moves earlier in the circuit while clients still have the power to execute jumps effectively.
Your client engagement and energy were fantastic—you kept the room motivated and connected. The playlist was great and supported the class vibe. However, to make the class more impactful, ensure that the structure aligns with the level and goal of the format. Add clear science and reasoning behind the choreography to elevate the experience for clients. Solid effort, but fine-tuning the structure will make a huge difference!</t>
  </si>
  <si>
    <t>Goals-Attendance and silences</t>
  </si>
  <si>
    <t>First team member ( reports to me) to hit score in 90's!! great work</t>
  </si>
  <si>
    <r>
      <rPr>
        <rFont val="Arial"/>
        <b/>
        <color theme="1"/>
      </rPr>
      <t>Trainers Choice</t>
    </r>
    <r>
      <rPr>
        <rFont val="Arial"/>
        <color theme="1"/>
      </rPr>
      <t>:Your class had some great elements, but there’s room to fine-tune for an even stronger experience! Starting with the first song—it was too slow and at a low volume, which made it unclear when the class began. Kicking things off with more energy would set a better tone. In the warm-up, reordering the moves could make a lot more sense—for example, doing a long runner’s lunge first before the high plank for thoracic spine opening. Also, there was quite a bit of continuous talking without pauses—letting the music come through with some silences would help balance the energy and create better pacing. Your attention to form throughout was solid, but for the second circuit, when you call it a progression, make sure to build it into the round rather than leaving it optional. This ensures clients experience real advancement in the workout.
Given the room had varied challenges, it would’ve been great to adapt a bit more—for example, starting with iso holds for 15 seconds and then adding reps or variations for thighs to suit the clients better. For glutes, the right side needed one more back-to-back progression, like slow hairpin taps followed by fast pulses, to fully push that muscle group. Using weights in all threes during the first round took away the chance to build progression—saving them for the second round could’ve enhanced the overload. Also, there were no hands-on corrections in glutes for either side, which could’ve been a game-changer. The motivation during the ab set was fantastic and gave a much-needed lift to the class, but breaks between your sentences could’ve helped maintain better flow and calmness throughout.
Overall, it was clear you were working hard to engage the room, but remember to keep things fun and relaxed—it’s okay to chill a bit more! With smoother transitions, a stronger focus on progression, and moments to let clients connect with the music and their movements, your class can go from good to great!</t>
    </r>
  </si>
  <si>
    <r>
      <rPr>
        <rFont val="Arial"/>
        <b/>
        <color theme="1"/>
      </rPr>
      <t>MAT 57</t>
    </r>
    <r>
      <rPr>
        <rFont val="Arial"/>
        <color theme="1"/>
      </rPr>
      <t xml:space="preserve">:Instead of using phrases like “don’t,” try using gentler cues such as “try not to.” This small shift in language can help clients feel more supported and less discouraged, especially when they’re working through challenging core exercises. Keep up with your cues—they’re helpful—but make sure to throw in more compliments too, since building confidence is just as important as correcting form.
In your Series of 5, it felt really leg-heavy. Try lifting the chest a bit more so your abs get the spotlight. Also, when it comes to the kneeling lateral spine set: what was your main goal there? You mentioned posture and abs, but it’d be great to clarify why you chose a kneeling position for that move.
Loved the fun banter during curls—it kept the energy up! But the curtsy taps seemed tough for the group, especially right after lateral lunges. If you’re focusing on cardio, consider choosing a move everyone can handle well for multiple reps. I also noticed the left side felt a bit rushed compared to the right.
Finally, I was curious about the inner thigh set in a modified teaser. What was the intention behind that? Just make sure it’s clear to participants why they’re doing it, so they stay motivated.
Overall, great job—just keep these tweaks in mind. 
</t>
    </r>
    <r>
      <rPr>
        <rFont val="Arial"/>
        <b/>
        <color theme="1"/>
      </rPr>
      <t>Recovery</t>
    </r>
    <r>
      <rPr>
        <rFont val="Arial"/>
        <color theme="1"/>
      </rPr>
      <t>: we did a lot of choreography in a very short amount of time. Something that might not work for this class. It was very creative, I wish you would have reduced the varaition and increased the duration of the sets.- talk about Friday evening Kemps shift</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</si>
</sst>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15">
    <font>
      <sz val="10.0"/>
      <color rgb="FF000000"/>
      <name val="Arial"/>
      <scheme val="minor"/>
    </font>
    <font>
      <color theme="1"/>
      <name val="Arial"/>
      <scheme val="minor"/>
    </font>
    <font>
      <color rgb="FFFF0000"/>
      <name val="Arial"/>
      <scheme val="minor"/>
    </font>
    <font>
      <color rgb="FF38761D"/>
      <name val="Arial"/>
      <scheme val="minor"/>
    </font>
    <font>
      <color rgb="FFF1C232"/>
      <name val="Arial"/>
      <scheme val="minor"/>
    </font>
    <font>
      <i/>
      <color theme="1"/>
      <name val="Arial"/>
      <scheme val="minor"/>
    </font>
    <font>
      <color rgb="FFBF9000"/>
      <name val="Arial"/>
      <scheme val="minor"/>
    </font>
    <font>
      <color rgb="FF6AA84F"/>
      <name val="Arial"/>
      <scheme val="minor"/>
    </font>
    <font>
      <b/>
      <i/>
      <color theme="1"/>
      <name val="Arial"/>
    </font>
    <font/>
    <font>
      <color theme="1"/>
      <name val="Arial"/>
    </font>
    <font>
      <b/>
      <color theme="1"/>
      <name val="Arial"/>
    </font>
    <font>
      <b/>
      <color rgb="FF0000FF"/>
      <name val="Arial"/>
    </font>
    <font>
      <b/>
      <i/>
      <color theme="1"/>
      <name val="Arial"/>
      <scheme val="minor"/>
    </font>
    <font>
      <sz val="11.0"/>
      <color theme="1"/>
      <name val="Arial"/>
      <scheme val="minor"/>
    </font>
  </fonts>
  <fills count="4">
    <fill>
      <patternFill patternType="none"/>
    </fill>
    <fill>
      <patternFill patternType="lightGray"/>
    </fill>
    <fill>
      <patternFill patternType="solid">
        <fgColor rgb="FFFFFFFF"/>
        <bgColor rgb="FFFFFFFF"/>
      </patternFill>
    </fill>
    <fill>
      <patternFill patternType="solid">
        <fgColor rgb="FF93C47D"/>
        <bgColor rgb="FF93C47D"/>
      </patternFill>
    </fill>
  </fills>
  <borders count="9">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bottom style="thin">
        <color rgb="FF000000"/>
      </bottom>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61">
    <xf borderId="0" fillId="0" fontId="0" numFmtId="0" xfId="0" applyAlignment="1" applyFont="1">
      <alignment readingOrder="0" shrinkToFit="0" vertical="bottom" wrapText="0"/>
    </xf>
    <xf borderId="0" fillId="0" fontId="1" numFmtId="0" xfId="0" applyAlignment="1" applyFont="1">
      <alignment horizontal="center"/>
    </xf>
    <xf borderId="0" fillId="0" fontId="1" numFmtId="0" xfId="0" applyAlignment="1" applyFont="1">
      <alignment horizontal="center" readingOrder="0"/>
    </xf>
    <xf borderId="0" fillId="0" fontId="1" numFmtId="0" xfId="0" applyAlignment="1" applyFont="1">
      <alignment readingOrder="0"/>
    </xf>
    <xf borderId="0" fillId="0" fontId="1" numFmtId="0" xfId="0" applyAlignment="1" applyFont="1">
      <alignment horizontal="center" readingOrder="0" shrinkToFit="0" wrapText="1"/>
    </xf>
    <xf borderId="0" fillId="0" fontId="2" numFmtId="0" xfId="0" applyAlignment="1" applyFont="1">
      <alignment horizontal="center" readingOrder="0"/>
    </xf>
    <xf borderId="0" fillId="2" fontId="3" numFmtId="0" xfId="0" applyAlignment="1" applyFill="1" applyFont="1">
      <alignment horizontal="center" readingOrder="0"/>
    </xf>
    <xf borderId="0" fillId="0" fontId="3" numFmtId="0" xfId="0" applyAlignment="1" applyFont="1">
      <alignment horizontal="center" readingOrder="0"/>
    </xf>
    <xf borderId="0" fillId="2" fontId="2" numFmtId="0" xfId="0" applyAlignment="1" applyFont="1">
      <alignment horizontal="center" readingOrder="0"/>
    </xf>
    <xf borderId="0" fillId="0" fontId="4" numFmtId="0" xfId="0" applyAlignment="1" applyFont="1">
      <alignment horizontal="center" readingOrder="0"/>
    </xf>
    <xf borderId="0" fillId="0" fontId="1" numFmtId="4" xfId="0" applyAlignment="1" applyFont="1" applyNumberFormat="1">
      <alignment readingOrder="0"/>
    </xf>
    <xf borderId="0" fillId="0" fontId="1" numFmtId="10" xfId="0" applyAlignment="1" applyFont="1" applyNumberFormat="1">
      <alignment horizontal="center" readingOrder="0"/>
    </xf>
    <xf quotePrefix="1" borderId="0" fillId="0" fontId="1" numFmtId="0" xfId="0" applyAlignment="1" applyFont="1">
      <alignment horizontal="center" readingOrder="0"/>
    </xf>
    <xf borderId="0" fillId="0" fontId="1" numFmtId="9" xfId="0" applyAlignment="1" applyFont="1" applyNumberFormat="1">
      <alignment horizontal="center" readingOrder="0"/>
    </xf>
    <xf borderId="0" fillId="0" fontId="1" numFmtId="9" xfId="0" applyAlignment="1" applyFont="1" applyNumberFormat="1">
      <alignment readingOrder="0"/>
    </xf>
    <xf borderId="0" fillId="2" fontId="5" numFmtId="0" xfId="0" applyAlignment="1" applyFont="1">
      <alignment horizontal="center"/>
    </xf>
    <xf borderId="0" fillId="0" fontId="3" numFmtId="0" xfId="0" applyAlignment="1" applyFont="1">
      <alignment horizontal="center"/>
    </xf>
    <xf borderId="0" fillId="2" fontId="6" numFmtId="0" xfId="0" applyAlignment="1" applyFont="1">
      <alignment horizontal="center" readingOrder="0"/>
    </xf>
    <xf borderId="0" fillId="0" fontId="7" numFmtId="0" xfId="0" applyAlignment="1" applyFont="1">
      <alignment horizontal="center" readingOrder="0"/>
    </xf>
    <xf borderId="0" fillId="0" fontId="1" numFmtId="0" xfId="0" applyFont="1"/>
    <xf borderId="0" fillId="0" fontId="1" numFmtId="164" xfId="0" applyAlignment="1" applyFont="1" applyNumberFormat="1">
      <alignment horizontal="center" readingOrder="0"/>
    </xf>
    <xf borderId="0" fillId="0" fontId="1" numFmtId="164" xfId="0" applyAlignment="1" applyFont="1" applyNumberFormat="1">
      <alignment readingOrder="0"/>
    </xf>
    <xf borderId="0" fillId="0" fontId="1" numFmtId="0" xfId="0" applyAlignment="1" applyFont="1">
      <alignment horizontal="center" readingOrder="0" shrinkToFit="0" wrapText="0"/>
    </xf>
    <xf borderId="0" fillId="0" fontId="1" numFmtId="0" xfId="0" applyAlignment="1" applyFont="1">
      <alignment readingOrder="0" shrinkToFit="0" wrapText="0"/>
    </xf>
    <xf borderId="1" fillId="0" fontId="8" numFmtId="0" xfId="0" applyAlignment="1" applyBorder="1" applyFont="1">
      <alignment horizontal="center" vertical="bottom"/>
    </xf>
    <xf borderId="2" fillId="0" fontId="9" numFmtId="0" xfId="0" applyBorder="1" applyFont="1"/>
    <xf borderId="3" fillId="0" fontId="9" numFmtId="0" xfId="0" applyBorder="1" applyFont="1"/>
    <xf borderId="4" fillId="0" fontId="10" numFmtId="0" xfId="0" applyAlignment="1" applyBorder="1" applyFont="1">
      <alignment vertical="bottom"/>
    </xf>
    <xf borderId="5" fillId="0" fontId="10" numFmtId="0" xfId="0" applyAlignment="1" applyBorder="1" applyFont="1">
      <alignment horizontal="center" vertical="bottom"/>
    </xf>
    <xf borderId="4" fillId="0" fontId="9" numFmtId="0" xfId="0" applyBorder="1" applyFont="1"/>
    <xf borderId="6" fillId="0" fontId="9" numFmtId="0" xfId="0" applyBorder="1" applyFont="1"/>
    <xf borderId="5" fillId="0" fontId="10" numFmtId="0" xfId="0" applyAlignment="1" applyBorder="1" applyFont="1">
      <alignment horizontal="center" readingOrder="0" vertical="bottom"/>
    </xf>
    <xf borderId="7" fillId="0" fontId="11" numFmtId="0" xfId="0" applyAlignment="1" applyBorder="1" applyFont="1">
      <alignment horizontal="center" shrinkToFit="0" vertical="bottom" wrapText="1"/>
    </xf>
    <xf borderId="3" fillId="0" fontId="11" numFmtId="0" xfId="0" applyAlignment="1" applyBorder="1" applyFont="1">
      <alignment horizontal="center" shrinkToFit="0" vertical="bottom" wrapText="1"/>
    </xf>
    <xf borderId="6" fillId="0" fontId="11" numFmtId="0" xfId="0" applyAlignment="1" applyBorder="1" applyFont="1">
      <alignment horizontal="center" vertical="bottom"/>
    </xf>
    <xf borderId="8" fillId="0" fontId="10" numFmtId="0" xfId="0" applyAlignment="1" applyBorder="1" applyFont="1">
      <alignment vertical="bottom"/>
    </xf>
    <xf borderId="6" fillId="0" fontId="10" numFmtId="0" xfId="0" applyAlignment="1" applyBorder="1" applyFont="1">
      <alignment vertical="bottom"/>
    </xf>
    <xf borderId="8" fillId="0" fontId="10" numFmtId="0" xfId="0" applyAlignment="1" applyBorder="1" applyFont="1">
      <alignment horizontal="center" readingOrder="0" vertical="bottom"/>
    </xf>
    <xf borderId="6" fillId="0" fontId="10" numFmtId="0" xfId="0" applyAlignment="1" applyBorder="1" applyFont="1">
      <alignment horizontal="center" shrinkToFit="0" vertical="bottom" wrapText="1"/>
    </xf>
    <xf borderId="6" fillId="0" fontId="10" numFmtId="0" xfId="0" applyAlignment="1" applyBorder="1" applyFont="1">
      <alignment horizontal="center" readingOrder="0" vertical="bottom"/>
    </xf>
    <xf borderId="7" fillId="0" fontId="1" numFmtId="0" xfId="0" applyAlignment="1" applyBorder="1" applyFont="1">
      <alignment readingOrder="0" shrinkToFit="0" wrapText="1"/>
    </xf>
    <xf borderId="6" fillId="0" fontId="11" numFmtId="0" xfId="0" applyAlignment="1" applyBorder="1" applyFont="1">
      <alignment horizontal="center" readingOrder="0" vertical="bottom"/>
    </xf>
    <xf borderId="6" fillId="0" fontId="10" numFmtId="0" xfId="0" applyAlignment="1" applyBorder="1" applyFont="1">
      <alignment horizontal="center" readingOrder="0" shrinkToFit="0" vertical="bottom" wrapText="1"/>
    </xf>
    <xf borderId="0" fillId="0" fontId="1" numFmtId="0" xfId="0" applyAlignment="1" applyFont="1">
      <alignment readingOrder="0" shrinkToFit="0" wrapText="1"/>
    </xf>
    <xf borderId="6" fillId="0" fontId="10" numFmtId="0" xfId="0" applyAlignment="1" applyBorder="1" applyFont="1">
      <alignment readingOrder="0" shrinkToFit="0" vertical="bottom" wrapText="1"/>
    </xf>
    <xf borderId="6" fillId="0" fontId="10" numFmtId="0" xfId="0" applyAlignment="1" applyBorder="1" applyFont="1">
      <alignment horizontal="center" vertical="bottom"/>
    </xf>
    <xf borderId="6" fillId="0" fontId="12" numFmtId="0" xfId="0" applyAlignment="1" applyBorder="1" applyFont="1">
      <alignment horizontal="center" vertical="bottom"/>
    </xf>
    <xf borderId="0" fillId="0" fontId="1" numFmtId="0" xfId="0" applyAlignment="1" applyFont="1">
      <alignment readingOrder="0" shrinkToFit="0" wrapText="0"/>
    </xf>
    <xf borderId="0" fillId="0" fontId="10" numFmtId="0" xfId="0" applyAlignment="1" applyFont="1">
      <alignment vertical="bottom"/>
    </xf>
    <xf borderId="0" fillId="0" fontId="10" numFmtId="0" xfId="0" applyAlignment="1" applyFont="1">
      <alignment horizontal="center" vertical="bottom"/>
    </xf>
    <xf borderId="0" fillId="0" fontId="8" numFmtId="0" xfId="0" applyAlignment="1" applyFont="1">
      <alignment horizontal="center" vertical="bottom"/>
    </xf>
    <xf borderId="0" fillId="0" fontId="13" numFmtId="0" xfId="0" applyAlignment="1" applyFont="1">
      <alignment horizontal="center" readingOrder="0"/>
    </xf>
    <xf borderId="0" fillId="0" fontId="10" numFmtId="0" xfId="0" applyAlignment="1" applyFont="1">
      <alignment readingOrder="0" vertical="bottom"/>
    </xf>
    <xf borderId="0" fillId="3" fontId="10" numFmtId="0" xfId="0" applyAlignment="1" applyFill="1" applyFont="1">
      <alignment vertical="bottom"/>
    </xf>
    <xf borderId="0" fillId="3" fontId="1" numFmtId="0" xfId="0" applyFont="1"/>
    <xf borderId="0" fillId="0" fontId="10" numFmtId="0" xfId="0" applyAlignment="1" applyFont="1">
      <alignment horizontal="center" shrinkToFit="0" vertical="bottom" wrapText="1"/>
    </xf>
    <xf borderId="0" fillId="0" fontId="10" numFmtId="0" xfId="0" applyAlignment="1" applyFont="1">
      <alignment readingOrder="0" shrinkToFit="0" vertical="bottom" wrapText="0"/>
    </xf>
    <xf borderId="0" fillId="0" fontId="1" numFmtId="0" xfId="0" applyAlignment="1" applyFont="1">
      <alignment shrinkToFit="0" wrapText="0"/>
    </xf>
    <xf borderId="0" fillId="0" fontId="10" numFmtId="0" xfId="0" applyAlignment="1" applyFont="1">
      <alignment readingOrder="0" shrinkToFit="0" vertical="bottom" wrapText="1"/>
    </xf>
    <xf borderId="0" fillId="0" fontId="14" numFmtId="0" xfId="0" applyAlignment="1" applyFont="1">
      <alignment readingOrder="0"/>
    </xf>
    <xf borderId="0" fillId="0" fontId="14" numFmtId="10"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Anisha Shah" id="{a976042f-0116-4579-bfaf-f8c42cd64d70}" providerId="google-sheets"/>
  <x18tc:person displayName="Deleted user" id="{6ba77c55-b734-43d2-9fff-5eb5f6d435c4}" providerId="google-sheets"/>
  <x18tc:person displayName="pranjali" id="{907664be-3377-4cdd-96c9-f0ae3a84f186}"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H4" dT="2023-08-19T01:46:37.00" personId="{6ba77c55-b734-43d2-9fff-5eb5f6d435c4}" id="{94f66abe-dc85-4251-a144-59ce736ce4d6}" done="0">
    <x18tc:text xml:space="preserve">Highest is 6.1, Studio average is 4.4</x18tc:text>
  </x18tc:threadedComment>
  <x18tc:threadedComment ref="H15" dT="2023-08-19T01:47:39.00" personId="{6ba77c55-b734-43d2-9fff-5eb5f6d435c4}" id="{243359fe-b8d8-4551-a45d-adee97214ed1}" done="0">
    <x18tc:text xml:space="preserve">2/7 two classes at mews, phone wasn't working</x18tc:text>
  </x18tc:threadedComment>
  <x18tc:threadedComment ref="D4" dT="2023-04-12T05:55:38.00" personId="{a976042f-0116-4579-bfaf-f8c42cd64d70}" id="{306c57ea-a204-4589-a35c-099d87c9882c}" done="0">
    <x18tc:text xml:space="preserve">Confratulations!! You share your highest avg with 2 other trainers! Studio avg 3.5</x18tc:text>
  </x18tc:threadedComment>
  <x18tc:threadedComment ref="K6" dT="2023-11-04T14:19:29.00" personId="{6ba77c55-b734-43d2-9fff-5eb5f6d435c4}" id="{46a20225-d263-4fd2-80ca-2b141ef8dd38}" done="0">
    <x18tc:text xml:space="preserve">0 out of 3 returned</x18tc:text>
  </x18tc:threadedComment>
  <x18tc:threadedComment ref="K9" dT="2023-11-04T14:20:16.00" personId="{6ba77c55-b734-43d2-9fff-5eb5f6d435c4}" id="{b64ab8c4-d901-4b45-8ebc-fe7f0b91ccd0}" done="0">
    <x18tc:text xml:space="preserve">Studio av is 1.4 and highest is 1.8</x18tc:text>
  </x18tc:threadedComment>
  <x18tc:threadedComment ref="K4" dT="2023-11-04T14:19:02.00" personId="{6ba77c55-b734-43d2-9fff-5eb5f6d435c4}" id="{cf05766d-668e-4755-847f-e506cba105f8}" done="0">
    <x18tc:text xml:space="preserve">Studio av is 4.9 and highest is 7.6</x18tc:text>
  </x18tc:threadedComment>
  <x18tc:threadedComment ref="F6" dT="2023-06-15T13:37:54.00" personId="{6ba77c55-b734-43d2-9fff-5eb5f6d435c4}" id="{cf40ed1d-a029-4882-b8ea-910976f64430}" done="0">
    <x18tc:text xml:space="preserve">4 out 8 returned</x18tc:text>
  </x18tc:threadedComment>
  <x18tc:threadedComment ref="B11" dT="2023-02-07T06:58:10.00" personId="{a976042f-0116-4579-bfaf-f8c42cd64d70}" id="{6a9a0742-ac5f-4133-b109-47c89717538c}" done="0">
    <x18tc:text xml:space="preserve">1 on 3 returned</x18tc:text>
  </x18tc:threadedComment>
  <x18tc:threadedComment ref="N15" dT="2024-01-22T07:06:11.00" personId="{a976042f-0116-4579-bfaf-f8c42cd64d70}" id="{7315fe90-2e91-4731-98df-2f80e3b52011}" done="0">
    <x18tc:text xml:space="preserve">73%</x18tc:text>
  </x18tc:threadedComment>
  <x18tc:threadedComment ref="K11" dT="2023-11-04T14:20:28.00" personId="{6ba77c55-b734-43d2-9fff-5eb5f6d435c4}" id="{968cd052-d630-4388-a2ae-a5efe3235ae8}" done="0">
    <x18tc:text xml:space="preserve">None of out 1</x18tc:text>
  </x18tc:threadedComment>
  <x18tc:threadedComment ref="B6" dT="2023-02-07T07:00:19.00" personId="{a976042f-0116-4579-bfaf-f8c42cd64d70}" id="{89e6d08d-d7ea-4cf1-8cd6-1d55157f007e}" done="0">
    <x18tc:text xml:space="preserve">2 of 5 returned</x18tc:text>
  </x18tc:threadedComment>
  <x18tc:threadedComment ref="K15" dT="2023-11-04T14:22:26.00" personId="{6ba77c55-b734-43d2-9fff-5eb5f6d435c4}" id="{40c360f7-7e34-4246-a5a4-c5f42875f32d}" done="0">
    <x18tc:text xml:space="preserve">two on 2nd, 21st, two on 27th assignment not rcvd</x18tc:text>
  </x18tc:threadedComment>
  <x18tc:threadedComment ref="B4" dT="2023-02-07T07:02:55.00" personId="{a976042f-0116-4579-bfaf-f8c42cd64d70}" id="{aa84f22c-404d-432d-b97a-6ce1613adf86}" done="0">
    <x18tc:text xml:space="preserve">Studio avg 2.9. Highest avg 4.2</x18tc:text>
  </x18tc:threadedComment>
  <x18tc:threadedComment ref="N17" dT="2024-01-22T07:10:55.00" personId="{a976042f-0116-4579-bfaf-f8c42cd64d70}" id="{118e4ba8-ef0a-4713-bc82-e9dde9725f4c}" done="0">
    <x18tc:text xml:space="preserve">40 of 48 = 83%</x18tc:text>
  </x18tc:threadedComment>
  <x18tc:threadedComment ref="N19" dT="2024-01-22T07:11:53.00" personId="{a976042f-0116-4579-bfaf-f8c42cd64d70}" id="{4e439127-e106-46e0-bb1c-8d53eb58ab05}" done="0">
    <x18tc:text xml:space="preserve">33%</x18tc:text>
  </x18tc:threadedComment>
  <x18tc:threadedComment ref="C1" dT="2023-02-07T07:03:16.00" personId="{a976042f-0116-4579-bfaf-f8c42cd64d70}" id="{b25e5696-105c-4d9c-a6a9-a4390682b9ad}" done="0">
    <x18tc:text xml:space="preserve">Target Kemps 6
Target Mews 6</x18tc:text>
  </x18tc:threadedComment>
  <x18tc:threadedComment ref="I6" dT="2023-10-09T05:29:22.00" personId="{6ba77c55-b734-43d2-9fff-5eb5f6d435c4}" id="{3e051257-f0a0-4494-8835-4cb08070c316}" done="0">
    <x18tc:text xml:space="preserve">3 out of 9 returned</x18tc:text>
  </x18tc:threadedComment>
  <x18tc:threadedComment ref="J6" dT="2023-10-09T05:30:39.00" personId="{6ba77c55-b734-43d2-9fff-5eb5f6d435c4}" id="{6784ccb3-ddad-40df-9b5c-887f2ee603bf}" done="0">
    <x18tc:text xml:space="preserve">3 out of 7 returned</x18tc:text>
  </x18tc:threadedComment>
  <x18tc:threadedComment ref="I11" dT="2023-10-09T05:31:40.00" personId="{6ba77c55-b734-43d2-9fff-5eb5f6d435c4}" id="{e07d2345-346b-494c-828f-e2b38619ee74}" done="0">
    <x18tc:text xml:space="preserve">none out of 1 returned</x18tc:text>
  </x18tc:threadedComment>
  <x18tc:threadedComment ref="F9" dT="2023-06-06T15:40:42.00" personId="{6ba77c55-b734-43d2-9fff-5eb5f6d435c4}" id="{f9285c8b-6cce-48ac-a5b0-80b57ea9ba43}" done="0">
    <x18tc:text xml:space="preserve">Studio av-1.8,Highest- 2.4</x18tc:text>
  </x18tc:threadedComment>
  <x18tc:threadedComment ref="H6" dT="2023-08-23T04:15:10.00" personId="{6ba77c55-b734-43d2-9fff-5eb5f6d435c4}" id="{7e4870aa-facb-4613-b614-86300ad26a85}" done="0">
    <x18tc:text xml:space="preserve">5 out of 11 returned</x18tc:text>
  </x18tc:threadedComment>
  <x18tc:threadedComment ref="E6" dT="2023-06-05T15:50:21.00" personId="{6ba77c55-b734-43d2-9fff-5eb5f6d435c4}" id="{14941c1e-97b3-4ee6-b51a-2b6ec346653c}" done="0">
    <x18tc:text xml:space="preserve">3 out of 12 returned</x18tc:text>
  </x18tc:threadedComment>
  <x18tc:threadedComment ref="E9" dT="2023-06-05T15:51:12.00" personId="{6ba77c55-b734-43d2-9fff-5eb5f6d435c4}" id="{a0cf18c9-5d4b-4d36-bdeb-1783fc7c3ace}" done="0">
    <x18tc:text xml:space="preserve">Studio av-1.9, Highest av-2.6</x18tc:text>
  </x18tc:threadedComment>
  <x18tc:threadedComment ref="J9" dT="2023-10-05T16:17:01.00" personId="{6ba77c55-b734-43d2-9fff-5eb5f6d435c4}" id="{edb3bb78-8e8e-49c4-b277-f101c9ea8656}" done="0">
    <x18tc:text xml:space="preserve">Studio av is 1.3, highest is 2.3</x18tc:text>
  </x18tc:threadedComment>
  <x18tc:threadedComment ref="E4" dT="2023-06-05T15:45:49.00" personId="{6ba77c55-b734-43d2-9fff-5eb5f6d435c4}" id="{dc984f7c-dcb8-4d4e-9b85-aa1ed3cf8f81}" done="0">
    <x18tc:text xml:space="preserve">Studio av-4.2, Highest av-6.5</x18tc:text>
  </x18tc:threadedComment>
  <x18tc:threadedComment ref="J4" dT="2023-10-05T16:16:27.00" personId="{6ba77c55-b734-43d2-9fff-5eb5f6d435c4}" id="{2fbeb69a-619d-48f2-8c36-a754dd3af9f6}" done="0">
    <x18tc:text xml:space="preserve">Studio av is 4.8, highest is 6.5</x18tc:text>
  </x18tc:threadedComment>
  <x18tc:threadedComment ref="L4" dT="2023-12-11T19:29:06.00" personId="{6ba77c55-b734-43d2-9fff-5eb5f6d435c4}" id="{cc5b528b-8b28-45cf-86f8-db340de04e81}" done="0">
    <x18tc:text xml:space="preserve">highest is 6.2, studio av is 4.4</x18tc:text>
  </x18tc:threadedComment>
  <x18tc:threadedComment ref="L9" dT="2023-12-11T19:26:30.00" personId="{6ba77c55-b734-43d2-9fff-5eb5f6d435c4}" id="{6ce3ed98-c1af-46ac-9193-4bea7b426153}" done="0">
    <x18tc:text xml:space="preserve">Yours is the highest av, studio av is 1.4</x18tc:text>
  </x18tc:threadedComment>
  <x18tc:threadedComment ref="F11" dT="2023-06-06T15:42:17.00" personId="{6ba77c55-b734-43d2-9fff-5eb5f6d435c4}" id="{52a5adf3-2f85-4edb-91c4-1d9051cb6b4c}" done="0">
    <x18tc:text xml:space="preserve">1 out of 6 returned</x18tc:text>
  </x18tc:threadedComment>
  <x18tc:threadedComment ref="F4" dT="2023-06-05T15:56:35.00" personId="{6ba77c55-b734-43d2-9fff-5eb5f6d435c4}" id="{d7456e7c-8ba3-4ac1-a9b8-a17cd1835566}" done="0">
    <x18tc:text xml:space="preserve">studio av-5.1, Highest av-8.2. Yours is the second highest!!</x18tc:text>
  </x18tc:threadedComment>
  <x18tc:threadedComment ref="L11" dT="2023-12-11T19:27:23.00" personId="{6ba77c55-b734-43d2-9fff-5eb5f6d435c4}" id="{fb68ba44-4d2f-429d-a292-df4a66cc0f1b}" done="0">
    <x18tc:text xml:space="preserve">1 out of 2 returned</x18tc:text>
  </x18tc:threadedComment>
  <x18tc:threadedComment ref="C4" dT="2023-03-03T10:50:53.00" personId="{a976042f-0116-4579-bfaf-f8c42cd64d70}" id="{4a6130c2-cbe4-4c93-9792-280d0e364f91}" done="0">
    <x18tc:text xml:space="preserve">Average score lowest from the bottom. Highest avg 5.2. Studio avg 3.7</x18tc:text>
  </x18tc:threadedComment>
  <x18tc:threadedComment ref="G6" dT="2023-07-19T16:26:10.00" personId="{6ba77c55-b734-43d2-9fff-5eb5f6d435c4}" id="{48d84db8-bc6a-4f29-80f8-9be0fc472a5b}" done="0">
    <x18tc:text xml:space="preserve">7 out 20 returned</x18tc:text>
  </x18tc:threadedComment>
  <x18tc:threadedComment ref="G4" dT="2023-07-19T16:24:39.00" personId="{6ba77c55-b734-43d2-9fff-5eb5f6d435c4}" id="{82e990aa-33af-4493-b1c1-9b6e8fa6981c}" done="0">
    <x18tc:text xml:space="preserve">highest is 7.1</x18tc:text>
  </x18tc:threadedComment>
  <x18tc:threadedComment ref="C6" dT="2023-03-03T10:51:15.00" personId="{a976042f-0116-4579-bfaf-f8c42cd64d70}" id="{eda362b9-c9eb-4f0e-b74e-671d48e3c976}" done="0">
    <x18tc:text xml:space="preserve">None of 4 returned</x18tc:text>
  </x18tc:threadedComment>
  <x18tc:threadedComment ref="I4" dT="2023-09-19T04:43:42.00" personId="{6ba77c55-b734-43d2-9fff-5eb5f6d435c4}" id="{e7c07689-7cfc-43e2-ad4b-c997b92e2839}" done="0">
    <x18tc:text xml:space="preserve">studio av is 5, highest is 6.5</x18tc:text>
  </x18tc:threadedComment>
  <x18tc:threadedComment ref="D11" dT="2023-04-12T05:59:33.00" personId="{a976042f-0116-4579-bfaf-f8c42cd64d70}" id="{f5f0e16f-185c-4a92-bac7-9dbff2c49450}" done="0">
    <x18tc:text xml:space="preserve">Congratulations! Highest conversion in Colaba. 2 of 3 returned</x18tc:text>
  </x18tc:threadedComment>
  <x18tc:threadedComment ref="I9" dT="2023-09-19T04:45:29.00" personId="{6ba77c55-b734-43d2-9fff-5eb5f6d435c4}" id="{b8a061cf-115c-43ac-b911-d9f4e03410af}" done="0">
    <x18tc:text xml:space="preserve">studio av is 1.8, highest is 2.5</x18tc:text>
  </x18tc:threadedComment>
  <x18tc:threadedComment ref="D6" dT="2023-04-12T05:56:59.00" personId="{a976042f-0116-4579-bfaf-f8c42cd64d70}" id="{cbaaf6b2-e958-4074-94a9-fdb31193467b}" done="0">
    <x18tc:text xml:space="preserve">1 of 9 returned</x18tc:text>
  </x18tc:threadedComment>
  <x18tc:threadedComment ref="D9" dT="2023-04-12T06:10:10.00" personId="{a976042f-0116-4579-bfaf-f8c42cd64d70}" id="{04342086-da74-460f-92df-d082b84856f8}" done="0">
    <x18tc:text xml:space="preserve">Highest avg 2.7. Studio avg 2.5</x18tc:text>
  </x18tc:threadedComment>
  <x18tc:threadedComment ref="C9" dT="2023-03-09T09:58:12.00" personId="{a976042f-0116-4579-bfaf-f8c42cd64d70}" id="{be12a97a-f378-4dc8-93f8-96de2bbc2539}" done="0">
    <x18tc:text xml:space="preserve">Highest avg 1.7. Studio avg 1.4</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17" dT="2024-01-22T11:59:09.00" personId="{a976042f-0116-4579-bfaf-f8c42cd64d70}" id="{d25c87ff-ee35-4ca2-aa88-423a885e4580}" done="0">
    <x18tc:text xml:space="preserve">2.5 + 4.5</x18tc:text>
  </x18tc:threadedComment>
  <x18tc:threadedComment ref="A8" dT="2024-01-22T06:59:06.00" personId="{a976042f-0116-4579-bfaf-f8c42cd64d70}" id="{e87505ad-3b9e-457e-bfe1-796083060c91}" done="0">
    <x18tc:text xml:space="preserve">Target = 6
100% and above =12.5
75-99%= 10.5
60-74%= 7.5
45 to 59%= 5
30 to 44%= 3
under 30% = 0</x18tc:text>
  </x18tc:threadedComment>
  <x18tc:threadedComment ref="A17" dT="2024-01-22T06:58:35.00" personId="{a976042f-0116-4579-bfaf-f8c42cd64d70}" id="{6f44bb94-b401-4f19-990e-659cbaa72f10}" done="0">
    <x18tc:text xml:space="preserve">70-100%= 5
50-69% = 2.5
30-59% = 0.5
below 30% = 0</x18tc:text>
  </x18tc:threadedComment>
  <x18tc:threadedComment ref="A9" dT="2024-01-22T06:59:39.00" personId="{a976042f-0116-4579-bfaf-f8c42cd64d70}" id="{1e60a319-75aa-4153-98b1-91d70570edf8}" done="0">
    <x18tc:text xml:space="preserve">Min target =30%
20% and above= 12.5%
15 to 19.9%= 10.5
14.9 to 10% = 7.5
5 to 9.9% = 5
1 to 4.9% = 3
under 1 = 0</x18tc:text>
  </x18tc:threadedComment>
  <x18tc:threadedComment ref="D9" dT="2024-01-22T20:58:21.00" personId="{6ba77c55-b734-43d2-9fff-5eb5f6d435c4}" id="{e8f73453-34e5-467d-848f-1d4b890305e8}" done="1">
    <x18tc:text xml:space="preserve">She is not top, Viv is</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H12" dT="2024-06-03T10:24:27.00" personId="{6ba77c55-b734-43d2-9fff-5eb5f6d435c4}" id="{aaac97a2-6c67-4c22-9f6a-07cb86fcb938}" done="0">
    <x18tc:text xml:space="preserve">1/1 meeting, 6/6 class attended, 7/7 empty hours</x18tc:text>
  </x18tc:threadedComment>
  <x18tc:threadedComment ref="C5" dT="2024-02-03T04:11:45.00" personId="{6ba77c55-b734-43d2-9fff-5eb5f6d435c4}" id="{7b821935-9151-40bf-9edc-9b153f39a89b}" done="0">
    <x18tc:text xml:space="preserve">None of the new clients were reached out.</x18tc:text>
  </x18tc:threadedComment>
  <x18tc:threadedComment ref="C5" dT="2024-02-08T05:10:51.00" personId="{6ba77c55-b734-43d2-9fff-5eb5f6d435c4}" id="{5d2a46e6-4ec7-4ab1-af7e-169bf87626aa}" parentId="{7b821935-9151-40bf-9edc-9b153f39a89b}">
    <x18tc:text xml:space="preserve">0+6.5</x18tc:text>
  </x18tc:threadedComment>
  <x18tc:threadedComment ref="H5" dT="2024-06-03T10:23:31.00" personId="{6ba77c55-b734-43d2-9fff-5eb5f6d435c4}" id="{403b7075-269f-40b6-ae4d-477f17cb632c}" done="0">
    <x18tc:text xml:space="preserve">(15 clients were reached out of 74) 
0+7.5</x18tc:text>
  </x18tc:threadedComment>
  <x18tc:threadedComment ref="Q12" dT="2025-01-02T10:22:08.00" personId="{6ba77c55-b734-43d2-9fff-5eb5f6d435c4}" id="{c2d33905-3889-41cb-9fe9-d9948c3b74f8}" done="0">
    <x18tc:text xml:space="preserve">Empty classes-5/5, Class attended-3/6, workshop 1/1</x18tc:text>
  </x18tc:threadedComment>
  <x18tc:threadedComment ref="Q12" dT="2025-01-02T10:23:58.00" personId="{6ba77c55-b734-43d2-9fff-5eb5f6d435c4}" id="{c52ca4a1-8ef1-4444-8ec5-3c4fb6e49e98}" parentId="{c2d33905-3889-41cb-9fe9-d9948c3b74f8}">
    <x18tc:text xml:space="preserve">5+5</x18tc:text>
  </x18tc:threadedComment>
  <x18tc:threadedComment ref="C12" dT="2024-02-03T04:12:57.00" personId="{6ba77c55-b734-43d2-9fff-5eb5f6d435c4}" id="{e87ded40-7e3e-4616-8ada-b940e3f7b55b}" done="0">
    <x18tc:text xml:space="preserve">0/6 class attended, 0/1 empty hour email, 1/1 workshop attended</x18tc:text>
  </x18tc:threadedComment>
  <x18tc:threadedComment ref="C12" dT="2024-02-03T04:13:45.00" personId="{6ba77c55-b734-43d2-9fff-5eb5f6d435c4}" id="{63a2f4a8-df75-4063-b334-1ad50774aad6}" parentId="{e87ded40-7e3e-4616-8ada-b940e3f7b55b}">
    <x18tc:text xml:space="preserve">0+5</x18tc:text>
  </x18tc:threadedComment>
  <x18tc:threadedComment ref="H4" dT="2024-06-03T10:16:21.00" personId="{6ba77c55-b734-43d2-9fff-5eb5f6d435c4}" id="{00ae9d0a-06bf-4b3e-87ba-be6ccdcb150e}" done="0">
    <x18tc:text xml:space="preserve">Bandra retention- 6% ( 4 out of 70 returned)
Kemps Retention-50% ( 2 out of 4 returned)</x18tc:text>
  </x18tc:threadedComment>
  <x18tc:threadedComment ref="B5" dT="2024-02-07T20:46:45.00" personId="{6ba77c55-b734-43d2-9fff-5eb5f6d435c4}" id="{29b74857-f8e1-4014-b7f4-215e4b335d0b}" done="0">
    <x18tc:text xml:space="preserve">5 (Client outreach) + 7.5 Communication and connection</x18tc:text>
  </x18tc:threadedComment>
  <x18tc:threadedComment ref="O3" dT="2024-11-06T20:34:11.00" personId="{6ba77c55-b734-43d2-9fff-5eb5f6d435c4}" id="{2e5c2156-6c40-4e65-9636-f584ebaa7da3}" done="0">
    <x18tc:text xml:space="preserve">Bandra av is 2.7 ( Highest is 5.2)
Kemps av is 7.7( Highest is 9.7) GREAT WORK!!</x18tc:text>
  </x18tc:threadedComment>
  <x18tc:threadedComment ref="M12" dT="2024-10-03T19:35:24.00" personId="{6ba77c55-b734-43d2-9fff-5eb5f6d435c4}" id="{e09e9eb9-80ce-4c9d-913f-672906ade3ef}" done="0">
    <x18tc:text xml:space="preserve">empty hours-8/9, class attend- 6/6</x18tc:text>
  </x18tc:threadedComment>
  <x18tc:threadedComment ref="M12" dT="2024-10-03T19:35:35.00" personId="{6ba77c55-b734-43d2-9fff-5eb5f6d435c4}" id="{51637a42-1e85-43f5-bf02-b409da3a1ff3}" parentId="{e09e9eb9-80ce-4c9d-913f-672906ade3ef}">
    <x18tc:text xml:space="preserve">5+5</x18tc:text>
  </x18tc:threadedComment>
  <x18tc:threadedComment ref="E3" dT="2024-04-01T09:47:36.00" personId="{6ba77c55-b734-43d2-9fff-5eb5f6d435c4}" id="{1e2bd746-3ddd-4411-983f-106a43fc04dd}" done="0">
    <x18tc:text xml:space="preserve">Your av is 4.8, highest is 8.4, studio av is 4.5</x18tc:text>
  </x18tc:threadedComment>
  <x18tc:threadedComment ref="B3" dT="2024-04-01T09:48:34.00" personId="{6ba77c55-b734-43d2-9fff-5eb5f6d435c4}" id="{01b60129-f986-49fc-8113-6d57f61ac682}" done="0">
    <x18tc:text xml:space="preserve">Target is 6</x18tc:text>
  </x18tc:threadedComment>
  <x18tc:threadedComment ref="E4" dT="2024-04-01T09:49:43.00" personId="{6ba77c55-b734-43d2-9fff-5eb5f6d435c4}" id="{c1a87213-a8fd-46d7-be02-62d20c6530eb}" done="0">
    <x18tc:text xml:space="preserve">1 out of 15 retained. Your retention rate is 7%</x18tc:text>
  </x18tc:threadedComment>
  <x18tc:threadedComment ref="E5" dT="2024-04-01T09:50:16.00" personId="{6ba77c55-b734-43d2-9fff-5eb5f6d435c4}" id="{28173041-6c53-4449-bca2-68c9b98e7297}" done="0">
    <x18tc:text xml:space="preserve">0+6.5</x18tc:text>
  </x18tc:threadedComment>
  <x18tc:threadedComment ref="D3" dT="2024-03-05T04:21:17.00" personId="{6ba77c55-b734-43d2-9fff-5eb5f6d435c4}" id="{06350e81-efab-408e-b6fb-6d484fd72712}" done="0">
    <x18tc:text xml:space="preserve">Your av is 5.5, highest is 9.1, studio av is 4.7</x18tc:text>
  </x18tc:threadedComment>
  <x18tc:threadedComment ref="P3" dT="2024-12-09T04:54:47.00" personId="{6ba77c55-b734-43d2-9fff-5eb5f6d435c4}" id="{c531e3fd-8f08-4ffe-8eff-c78634015aeb}" done="0">
    <x18tc:text xml:space="preserve">Bandra av is 3 ( Highest is 4.5)
Kemps av is 7.9, Yours is the highest!!GREAT WORK!!</x18tc:text>
  </x18tc:threadedComment>
  <x18tc:threadedComment ref="P12" dT="2024-12-09T04:57:01.00" personId="{6ba77c55-b734-43d2-9fff-5eb5f6d435c4}" id="{bc7ba61e-1147-4e17-8eec-46964efd287f}" done="0">
    <x18tc:text xml:space="preserve">2/2 empty hours, 6/6 class attended, No workshop</x18tc:text>
  </x18tc:threadedComment>
  <x18tc:threadedComment ref="P12" dT="2024-12-09T04:57:05.00" personId="{6ba77c55-b734-43d2-9fff-5eb5f6d435c4}" id="{15702f57-efc6-4468-983c-b72099f1f346}" parentId="{bc7ba61e-1147-4e17-8eec-46964efd287f}">
    <x18tc:text xml:space="preserve">5+5</x18tc:text>
  </x18tc:threadedComment>
  <x18tc:threadedComment ref="P5" dT="2024-12-03T06:21:09.00" personId="{6ba77c55-b734-43d2-9fff-5eb5f6d435c4}" id="{dd1b6467-422b-4b7a-9363-24b2da892249}" done="0">
    <x18tc:text xml:space="preserve">5+7.5</x18tc:text>
  </x18tc:threadedComment>
  <x18tc:threadedComment ref="P5" dT="2024-12-10T09:41:11.00" personId="{6ba77c55-b734-43d2-9fff-5eb5f6d435c4}" id="{81b0d11f-a855-4bba-b24a-059fccff4a2a}" parentId="{dd1b6467-422b-4b7a-9363-24b2da892249}">
    <x18tc:text xml:space="preserve">reached out to 8 clients</x18tc:text>
  </x18tc:threadedComment>
  <x18tc:threadedComment ref="M5" dT="2024-10-01T18:19:08.00" personId="{6ba77c55-b734-43d2-9fff-5eb5f6d435c4}" id="{5511ff90-9a68-4f76-b2b4-905e84542ffc}" done="0">
    <x18tc:text xml:space="preserve">5+7.5</x18tc:text>
  </x18tc:threadedComment>
  <x18tc:threadedComment ref="C3" dT="2024-02-03T04:00:19.00" personId="{6ba77c55-b734-43d2-9fff-5eb5f6d435c4}" id="{c9f386a7-b460-456f-961a-f06b7f0c2536}" done="0">
    <x18tc:text xml:space="preserve">Your av is 4.6, highest is 7.8 and studio av is 4.4</x18tc:text>
  </x18tc:threadedComment>
  <x18tc:threadedComment ref="I5" dT="2024-07-03T14:31:51.00" personId="{6ba77c55-b734-43d2-9fff-5eb5f6d435c4}" id="{197d9c26-1ffe-427e-b13c-a9754a02f3a4}" done="0">
    <x18tc:text xml:space="preserve">0+7.5</x18tc:text>
  </x18tc:threadedComment>
  <x18tc:threadedComment ref="C4" dT="2024-02-03T04:03:54.00" personId="{6ba77c55-b734-43d2-9fff-5eb5f6d435c4}" id="{cd74a0b3-fa51-41be-ac84-aeca38f9d417}" done="0">
    <x18tc:text xml:space="preserve">2 out of 11 retained. Your retention rate is 1%</x18tc:text>
  </x18tc:threadedComment>
  <x18tc:threadedComment ref="I4" dT="2024-07-03T14:01:51.00" personId="{6ba77c55-b734-43d2-9fff-5eb5f6d435c4}" id="{c1296128-f7f8-4936-a04b-0df10789fb85}" done="0">
    <x18tc:text xml:space="preserve">Bandra retention- 20% ( 1 out of 5 returned)
Kemps Retention-30% ( 3 out of 10 returned)</x18tc:text>
  </x18tc:threadedComment>
  <x18tc:threadedComment ref="Q5" dT="2025-01-02T10:18:55.00" personId="{6ba77c55-b734-43d2-9fff-5eb5f6d435c4}" id="{4d434eaa-4e7b-4664-9c5b-6b04b211f47d}" done="1">
    <x18tc:text xml:space="preserve">Reached out to 11 clients</x18tc:text>
  </x18tc:threadedComment>
  <x18tc:threadedComment ref="A12" dT="2024-02-03T03:56:25.00" personId="{6ba77c55-b734-43d2-9fff-5eb5f6d435c4}" id="{0d039ece-713e-46fe-a478-6fcec6ec42ba}" done="0">
    <x18tc:text xml:space="preserve">70-100%= 5
50-69% = 2.5
30-49% = 0.5
below 30% = 0</x18tc:text>
  </x18tc:threadedComment>
  <x18tc:threadedComment ref="I3" dT="2024-07-03T14:00:16.00" personId="{6ba77c55-b734-43d2-9fff-5eb5f6d435c4}" id="{885f59d5-76e6-48e8-97ae-7243a5b2c2b0}" done="0">
    <x18tc:text xml:space="preserve">Bandra av is 2.4 ( Highest is 4.3)
Kemps av is 6.7( Highest is 7.8)</x18tc:text>
  </x18tc:threadedComment>
  <x18tc:threadedComment ref="Q3" dT="2025-01-02T10:15:54.00" personId="{6ba77c55-b734-43d2-9fff-5eb5f6d435c4}" id="{b848e7ca-2c25-4179-ad4d-92455a248ea6}" done="0">
    <x18tc:text xml:space="preserve">Bandra av is 2.9 ( Highest is 5.3)
Kemps av is 7.3( Highest is 8.4) Keep going!!</x18tc:text>
  </x18tc:threadedComment>
  <x18tc:threadedComment ref="L4" dT="2024-09-18T08:30:42.00" personId="{6ba77c55-b734-43d2-9fff-5eb5f6d435c4}" id="{7ba5bcc7-cba9-4b85-9de0-8f3aac8a9f0e}" done="0">
    <x18tc:text xml:space="preserve">Bandra retention- 60% ( 6 out of 10 returned)
Kemps Retention-50 % ( 4 out of 8 returned)</x18tc:text>
  </x18tc:threadedComment>
  <x18tc:threadedComment ref="E12" dT="2024-04-01T09:52:47.00" personId="{6ba77c55-b734-43d2-9fff-5eb5f6d435c4}" id="{659173e3-92fc-4404-994f-6ff4e6b8223c}" done="0">
    <x18tc:text xml:space="preserve">2/9 empty hour email, 1/6 class attended, 1/1 workoshp attendance</x18tc:text>
  </x18tc:threadedComment>
  <x18tc:threadedComment ref="E12" dT="2024-04-01T09:53:15.00" personId="{6ba77c55-b734-43d2-9fff-5eb5f6d435c4}" id="{f8886399-8889-41d9-a077-b4ca4711776a}" parentId="{659173e3-92fc-4404-994f-6ff4e6b8223c}">
    <x18tc:text xml:space="preserve">0+2.5</x18tc:text>
  </x18tc:threadedComment>
  <x18tc:threadedComment ref="A5" dT="2024-02-03T03:56:08.00" personId="{6ba77c55-b734-43d2-9fff-5eb5f6d435c4}" id="{e11c4926-0df0-4d7f-9539-8e03aebbf51f}" done="0">
    <x18tc:text xml:space="preserve">70-100%= 5
50-69% = 2.5
30-49% = 0.5
below 30% = 0</x18tc:text>
  </x18tc:threadedComment>
  <x18tc:threadedComment ref="I12" dT="2024-07-03T14:38:02.00" personId="{6ba77c55-b734-43d2-9fff-5eb5f6d435c4}" id="{8e21f93b-481c-4176-9460-6e4b11a102f7}" done="0">
    <x18tc:text xml:space="preserve">0/2 empty hour, 1/1 workshop, 6/6 class attended</x18tc:text>
  </x18tc:threadedComment>
  <x18tc:threadedComment ref="I12" dT="2024-07-05T05:11:12.00" personId="{6ba77c55-b734-43d2-9fff-5eb5f6d435c4}" id="{24622338-d798-4cde-85e0-cc598ab864ae}" parentId="{8e21f93b-481c-4176-9460-6e4b11a102f7}">
    <x18tc:text xml:space="preserve">5+5</x18tc:text>
  </x18tc:threadedComment>
  <x18tc:threadedComment ref="A3" dT="2024-02-03T03:55:22.00" personId="{6ba77c55-b734-43d2-9fff-5eb5f6d435c4}" id="{f58eb39f-8bc1-4094-a0b2-b2befa88ef16}" done="0">
    <x18tc:text xml:space="preserve">100% and above =12.5
75-99%= 10.5
60-74%= 7.5
45 to 59%= 5
30 to 44%= 3
under 30% = 0</x18tc:text>
  </x18tc:threadedComment>
  <x18tc:threadedComment ref="A4" dT="2024-02-03T03:55:45.00" personId="{6ba77c55-b734-43d2-9fff-5eb5f6d435c4}" id="{57f1dc54-2c1d-4638-8082-3eb6fa7d4d2e}" done="0">
    <x18tc:text xml:space="preserve">Min target =30%
20% and above= 12.5%
15 to 19.9%= 10.5
14.9 to 10% = 7.5
5 to 9.9% = 5
1 to 4.9% = 3
under 1 = 0</x18tc:text>
  </x18tc:threadedComment>
  <x18tc:threadedComment ref="G4" dT="2024-05-01T13:02:03.00" personId="{6ba77c55-b734-43d2-9fff-5eb5f6d435c4}" id="{914495c8-f5c5-45bc-a7c4-089d9d6eb30b}" done="0">
    <x18tc:text xml:space="preserve">3 out of 12 returned. Your retention rate is 25%</x18tc:text>
  </x18tc:threadedComment>
  <x18tc:threadedComment ref="M4" dT="2024-10-07T00:43:23.00" personId="{6ba77c55-b734-43d2-9fff-5eb5f6d435c4}" id="{995f654a-f639-4732-bf1e-8fe2aa80601a}" done="0">
    <x18tc:text xml:space="preserve">Kemps-66% (2 out of 3 returned)
Bandra- 33% ( 1 out of 3 returned)</x18tc:text>
  </x18tc:threadedComment>
  <x18tc:threadedComment ref="G3" dT="2024-05-01T13:01:22.00" personId="{6ba77c55-b734-43d2-9fff-5eb5f6d435c4}" id="{85080f35-e922-4ca6-b831-6168d8af98c9}" done="0">
    <x18tc:text xml:space="preserve">Your av is 6.1, highest is 9.8 and studio av is 5</x18tc:text>
  </x18tc:threadedComment>
  <x18tc:threadedComment ref="L12" dT="2024-09-09T14:30:40.00" personId="{6ba77c55-b734-43d2-9fff-5eb5f6d435c4}" id="{eec3dcf3-b232-45e7-9264-d3b706ca0450}" done="0">
    <x18tc:text xml:space="preserve">empty hour-3/3, class attended-5/6, meeting- 1/1</x18tc:text>
  </x18tc:threadedComment>
  <x18tc:threadedComment ref="L12" dT="2024-09-09T14:31:25.00" personId="{6ba77c55-b734-43d2-9fff-5eb5f6d435c4}" id="{6df7123a-77a1-4c7c-a966-b368ad57e98e}" parentId="{eec3dcf3-b232-45e7-9264-d3b706ca0450}">
    <x18tc:text xml:space="preserve">5+5</x18tc:text>
  </x18tc:threadedComment>
  <x18tc:threadedComment ref="D5" dT="2024-03-05T04:33:45.00" personId="{6ba77c55-b734-43d2-9fff-5eb5f6d435c4}" id="{d4103c2a-a109-46cd-8b56-f4383e8acd42}" done="0">
    <x18tc:text xml:space="preserve">no new clients were reached out- 0+ 6</x18tc:text>
  </x18tc:threadedComment>
  <x18tc:threadedComment ref="L5" dT="2024-09-09T15:00:31.00" personId="{6ba77c55-b734-43d2-9fff-5eb5f6d435c4}" id="{668c07da-ad8e-4784-83cd-1e2636107c6b}" done="0">
    <x18tc:text xml:space="preserve">0+7.5</x18tc:text>
  </x18tc:threadedComment>
  <x18tc:threadedComment ref="G12" dT="2024-05-01T13:07:21.00" personId="{6ba77c55-b734-43d2-9fff-5eb5f6d435c4}" id="{6ae5c06c-bf68-43a0-a3a5-9e6a4cc591d2}" done="0">
    <x18tc:text xml:space="preserve">1/1 meeting, zero empty hour, 1/6 class attended</x18tc:text>
  </x18tc:threadedComment>
  <x18tc:threadedComment ref="G12" dT="2024-05-01T13:07:50.00" personId="{6ba77c55-b734-43d2-9fff-5eb5f6d435c4}" id="{a1f89849-e727-4e95-a5cc-304fe7020b0b}" parentId="{6ae5c06c-bf68-43a0-a3a5-9e6a4cc591d2}">
    <x18tc:text xml:space="preserve">0.5+5</x18tc:text>
  </x18tc:threadedComment>
  <x18tc:threadedComment ref="P4" dT="2024-12-10T09:28:14.00" personId="{6ba77c55-b734-43d2-9fff-5eb5f6d435c4}" id="{fd47838c-5bc3-4c45-9365-bfd42979f118}" done="0">
    <x18tc:text xml:space="preserve">Kemps-12.5% (1 out of 8 returned)
Bandra- 66% ( 2 out of 3 returned)</x18tc:text>
  </x18tc:threadedComment>
  <x18tc:threadedComment ref="L3" dT="2024-09-09T14:50:09.00" personId="{6ba77c55-b734-43d2-9fff-5eb5f6d435c4}" id="{326ff5a3-c86c-4250-b911-d531186a2f9f}" done="0">
    <x18tc:text xml:space="preserve">Bandra av is 2.6 ( Highest is 6)
Kemps av is 5.6( Highest is 7.8)</x18tc:text>
  </x18tc:threadedComment>
  <x18tc:threadedComment ref="M3" dT="2024-10-02T19:06:38.00" personId="{6ba77c55-b734-43d2-9fff-5eb5f6d435c4}" id="{e269b04c-baad-4eed-9af0-a12f0d1a759b}" done="0">
    <x18tc:text xml:space="preserve">Bandra av is 2.4 ( Highest is 5.1)
Kemps av is 4.5( Highest is 7.4)</x18tc:text>
  </x18tc:threadedComment>
  <x18tc:threadedComment ref="G5" dT="2024-05-01T13:02:47.00" personId="{6ba77c55-b734-43d2-9fff-5eb5f6d435c4}" id="{7806af15-1b53-4169-998a-752d071426e6}" done="0">
    <x18tc:text xml:space="preserve">5+7.5</x18tc:text>
  </x18tc:threadedComment>
  <x18tc:threadedComment ref="D4" dT="2024-03-05T04:26:27.00" personId="{6ba77c55-b734-43d2-9fff-5eb5f6d435c4}" id="{c8b6a030-efaf-47d4-b6f2-7d7e3359395f}" done="0">
    <x18tc:text xml:space="preserve">3 out of 16 retained. your retention rate is 19%</x18tc:text>
  </x18tc:threadedComment>
  <x18tc:threadedComment ref="D4" dT="2024-03-05T15:07:50.00" personId="{6ba77c55-b734-43d2-9fff-5eb5f6d435c4}" id="{73bf50c0-ca53-4c03-ac51-f99492bd439e}" parentId="{c8b6a030-efaf-47d4-b6f2-7d7e3359395f}">
    <x18tc:text xml:space="preserve">10 from hosted classes</x18tc:text>
  </x18tc:threadedComment>
  <x18tc:threadedComment ref="D12" dT="2024-03-05T04:46:45.00" personId="{6ba77c55-b734-43d2-9fff-5eb5f6d435c4}" id="{37498141-c15c-4d1b-81f6-ef0bb544f6df}" done="0">
    <x18tc:text xml:space="preserve">0/6 class attended, 1/3 empty hour email, 0/1 meeting attendance</x18tc:text>
  </x18tc:threadedComment>
  <x18tc:threadedComment ref="D12" dT="2024-03-05T04:48:44.00" personId="{6ba77c55-b734-43d2-9fff-5eb5f6d435c4}" id="{9519bc17-fd5d-4b68-ba4d-e5395010fa63}" parentId="{37498141-c15c-4d1b-81f6-ef0bb544f6df}">
    <x18tc:text xml:space="preserve">0+5</x18tc:text>
  </x18tc:threadedComment>
  <x18tc:threadedComment ref="K3" dT="2024-08-19T05:01:56.00" personId="{6ba77c55-b734-43d2-9fff-5eb5f6d435c4}" id="{4dc9873c-e8c0-4196-a62b-9d60a3e5fd5a}" done="0">
    <x18tc:text xml:space="preserve">Bandra av is 3.6 ( Highest is 5.8)
Kemps av is 6.3( Highest is 9.6)</x18tc:text>
  </x18tc:threadedComment>
  <x18tc:threadedComment ref="K4" dT="2024-08-19T05:03:01.00" personId="{6ba77c55-b734-43d2-9fff-5eb5f6d435c4}" id="{b9a7540e-8a7b-44bf-b6a2-721b13ff05ff}" done="0">
    <x18tc:text xml:space="preserve">Bandra retention- 50% ( 2 out of 4 returned)
Kemps Retention-60% ( 6 out of 10 returned)</x18tc:text>
  </x18tc:threadedComment>
  <x18tc:threadedComment ref="K12" dT="2024-08-12T05:18:36.00" personId="{6ba77c55-b734-43d2-9fff-5eb5f6d435c4}" id="{50bf8bf5-8163-49e7-981f-4929e1d5bb16}" done="0">
    <x18tc:text xml:space="preserve">Class attended- 6/6, Empty hour- 3/3</x18tc:text>
  </x18tc:threadedComment>
  <x18tc:threadedComment ref="K12" dT="2024-08-12T05:18:41.00" personId="{6ba77c55-b734-43d2-9fff-5eb5f6d435c4}" id="{6e6f9777-e945-4f85-8b8e-d951231234b4}" parentId="{50bf8bf5-8163-49e7-981f-4929e1d5bb16}">
    <x18tc:text xml:space="preserve">5+5</x18tc:text>
  </x18tc:threadedComment>
  <x18tc:threadedComment ref="Q4" dT="2025-01-09T07:23:04.00" personId="{6ba77c55-b734-43d2-9fff-5eb5f6d435c4}" id="{17d58146-6a89-488f-86a1-a99bba5ab28e}" done="0">
    <x18tc:text xml:space="preserve">Kemps-50% (1 out of 2 returned)
Bandra- 14% ( 1 out of 7 returned)</x18tc:text>
  </x18tc:threadedComment>
  <x18tc:threadedComment ref="H3" dT="2024-06-03T10:14:59.00" personId="{6ba77c55-b734-43d2-9fff-5eb5f6d435c4}" id="{d8dfdc7b-a8ed-430b-8b52-77eb67b4b455}" done="0">
    <x18tc:text xml:space="preserve">Bandra av is 4.8 ( Highest is 6.7)
Kemps av is 5.4 ( Highest is 7.9)</x18tc:text>
  </x18tc:threadedComment>
  <x18tc:threadedComment ref="O5" dT="2024-11-04T17:05:18.00" personId="{6ba77c55-b734-43d2-9fff-5eb5f6d435c4}" id="{ab8a9221-549d-47f1-8063-d34d73f1da48}" done="0">
    <x18tc:text xml:space="preserve">0+6.5</x18tc:text>
  </x18tc:threadedComment>
  <x18tc:threadedComment ref="O4" dT="2024-11-07T21:12:22.00" personId="{6ba77c55-b734-43d2-9fff-5eb5f6d435c4}" id="{8785d513-b6aa-45b2-bf38-3c0dec2421ce}" done="0">
    <x18tc:text xml:space="preserve">Kemps-0% (1 out of 8 returned)
Bandra- 0% ( 1 out of 6 returned)</x18tc:text>
  </x18tc:threadedComment>
  <x18tc:threadedComment ref="K5" dT="2024-08-19T05:10:37.00" personId="{6ba77c55-b734-43d2-9fff-5eb5f6d435c4}" id="{0aac8ee4-58d9-439d-a867-96b68be5fbe4}" done="0">
    <x18tc:text xml:space="preserve">0+7.5</x18tc:text>
  </x18tc:threadedComment>
  <x18tc:threadedComment ref="O12" dT="2024-11-04T17:00:52.00" personId="{6ba77c55-b734-43d2-9fff-5eb5f6d435c4}" id="{154b6b0b-cdf7-4ba9-b53e-33b2bab3ceeb}" done="0">
    <x18tc:text xml:space="preserve">3/7 empty hours, 6/6 class attended, No workshop</x18tc:text>
  </x18tc:threadedComment>
  <x18tc:threadedComment ref="O12" dT="2024-11-04T17:01:28.00" personId="{6ba77c55-b734-43d2-9fff-5eb5f6d435c4}" id="{e1cc74b8-3f3e-42a9-8a7b-28eacc1849ce}" parentId="{154b6b0b-cdf7-4ba9-b53e-33b2bab3ceeb}">
    <x18tc:text xml:space="preserve">2.5+5</x18tc:text>
  </x18tc:threadedComment>
  <x18tc:threadedComment ref="O12" dT="2024-11-08T06:33:10.00" personId="{907664be-3377-4cdd-96c9-f0ae3a84f186}" id="{277b4340-743a-4bd8-a83e-0e39830c868d}" parentId="{154b6b0b-cdf7-4ba9-b53e-33b2bab3ceeb}">
    <x18tc:text xml:space="preserve">hi hi, sorry but i attended 9 classes in october. sent the sheet to mriga.</x18tc:text>
  </x18tc:threadedComment>
  <x18tc:threadedComment ref="O12" dT="2024-11-08T06:37:39.00" personId="{907664be-3377-4cdd-96c9-f0ae3a84f186}" id="{23a1f616-6e72-41a9-9486-1c6d5a06f288}" parentId="{154b6b0b-cdf7-4ba9-b53e-33b2bab3ceeb}">
    <x18tc:text xml:space="preserve">also i think I had 6 empty hours. can you pls check?</x18tc:text>
  </x18tc:threadedComment>
  <x18tc:threadedComment ref="O12" dT="2024-11-08T15:51:57.00" personId="{6ba77c55-b734-43d2-9fff-5eb5f6d435c4}" id="{d09b8115-d97d-457d-b500-2486b9b7b127}" parentId="{154b6b0b-cdf7-4ba9-b53e-33b2bab3ceeb}">
    <x18tc:text xml:space="preserve">Hey, You had 7 empty hours and I have made changes in your class attended.</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2" dT="2025-01-30T09:05:37.00" personId="{6ba77c55-b734-43d2-9fff-5eb5f6d435c4}" id="{d412cfa9-1a23-424e-a763-249f9e4b524e}" done="0">
    <x18tc:text xml:space="preserve">70-100%= 5
50-69% = 2.5
30-49% = 0.5
below 30% = 0</x18tc:text>
  </x18tc:threadedComment>
  <x18tc:threadedComment ref="I12" dT="2025-07-22T08:20:13.00" personId="{a976042f-0116-4579-bfaf-f8c42cd64d70}" id="{b65deeba-3fbe-4645-9dd7-0fc1421f2bc2}" done="0">
    <x18tc:text xml:space="preserve">0 of 1 empty assignment submitted
3 of 4 classes taken</x18tc:text>
  </x18tc:threadedComment>
  <x18tc:threadedComment ref="H1" dT="2025-05-16T08:38:31.00" personId="{a976042f-0116-4579-bfaf-f8c42cd64d70}" id="{0aa3f72f-d600-4215-8c49-a2ff622164c0}" done="0">
    <x18tc:text xml:space="preserve">Barre57 9th May Kemps</x18tc:text>
  </x18tc:threadedComment>
  <x18tc:threadedComment ref="G1" dT="2025-05-16T08:39:21.00" personId="{a976042f-0116-4579-bfaf-f8c42cd64d70}" id="{40186cfa-7109-4484-9fee-65c278bd1e63}" done="0">
    <x18tc:text xml:space="preserve">11th April Cardio Barre Kemps</x18tc:text>
  </x18tc:threadedComment>
  <x18tc:threadedComment ref="I3" dT="2025-07-22T08:16:15.00" personId="{a976042f-0116-4579-bfaf-f8c42cd64d70}" id="{2bd1f789-0c54-409d-9104-3b3092665c37}" done="0">
    <x18tc:text xml:space="preserve">8.1 Kemps
4.0 Bandra
6.0 Total</x18tc:text>
  </x18tc:threadedComment>
  <x18tc:threadedComment ref="I4" dT="2025-07-22T08:17:17.00" personId="{a976042f-0116-4579-bfaf-f8c42cd64d70}" id="{a503622b-e0f3-43f0-9465-e4da33f27b2f}" done="0">
    <x18tc:text xml:space="preserve">7 of 26 Kemps
1 of 8 Bandra
26%</x18tc:text>
  </x18tc:threadedComment>
  <x18tc:threadedComment ref="D4" dT="2025-03-10T06:19:31.00" personId="{6ba77c55-b734-43d2-9fff-5eb5f6d435c4}" id="{631f16a7-00aa-41a0-a035-f0a8c3165725}" done="0">
    <x18tc:text xml:space="preserve">Kemps- 4.7% (1 out of 21 returned)
Bandra- 33% (  2 out of 6 returned)</x18tc:text>
  </x18tc:threadedComment>
  <x18tc:threadedComment ref="D4" dT="2025-03-10T11:03:11.00" personId="{6ba77c55-b734-43d2-9fff-5eb5f6d435c4}" id="{a13cad12-72c2-475c-b1f3-4e6c3bfbf614}" parentId="{631f16a7-00aa-41a0-a035-f0a8c3165725}">
    <x18tc:text xml:space="preserve">Sneha and Yash</x18tc:text>
  </x18tc:threadedComment>
  <x18tc:threadedComment ref="D3" dT="2025-03-10T06:17:58.00" personId="{6ba77c55-b734-43d2-9fff-5eb5f6d435c4}" id="{790731d0-8b24-4b54-b55a-240ba14f14a8}" done="0">
    <x18tc:text xml:space="preserve">Bandra av is 3.8 ( Highest is 4.6)
Kemps av is 8, Yours is the highest!! yayy!</x18tc:text>
  </x18tc:threadedComment>
  <x18tc:threadedComment ref="D5" dT="2025-03-10T06:15:17.00" personId="{6ba77c55-b734-43d2-9fff-5eb5f6d435c4}" id="{e2649877-3328-46bb-b92b-46afe3778490}" done="0">
    <x18tc:text xml:space="preserve">2.5+7.5 ( reached out to 14 clients)
12 clients from hosted class at kemps</x18tc:text>
  </x18tc:threadedComment>
  <x18tc:threadedComment ref="B5" dT="2025-01-30T09:06:19.00" personId="{6ba77c55-b734-43d2-9fff-5eb5f6d435c4}" id="{8eb3fef9-0b48-4528-a239-a9b33dcced45}" done="0">
    <x18tc:text xml:space="preserve">5 (Client outreach) + 7.5 Communication and connection</x18tc:text>
  </x18tc:threadedComment>
  <x18tc:threadedComment ref="D12" dT="2025-03-05T15:29:32.00" personId="{6ba77c55-b734-43d2-9fff-5eb5f6d435c4}" id="{4b5520f4-9115-400b-a570-445e099279cf}" done="0">
    <x18tc:text xml:space="preserve">2/3- workshop, 1/1 empty hour, 6/6 class attended</x18tc:text>
  </x18tc:threadedComment>
  <x18tc:threadedComment ref="H3" dT="2025-07-22T08:13:51.00" personId="{a976042f-0116-4579-bfaf-f8c42cd64d70}" id="{e65eecfb-b3bd-41e2-8477-7af852a99281}" done="0">
    <x18tc:text xml:space="preserve">7.7 Kemps
5.2 Bandra
6.5 total</x18tc:text>
  </x18tc:threadedComment>
  <x18tc:threadedComment ref="G3" dT="2025-05-16T08:17:04.00" personId="{a976042f-0116-4579-bfaf-f8c42cd64d70}" id="{a51a1f1e-c070-4c52-be03-8268d82f7e74}" done="0">
    <x18tc:text xml:space="preserve">Kemps: 8
Bandra: 3.7
Total 5.9</x18tc:text>
  </x18tc:threadedComment>
  <x18tc:threadedComment ref="C3" dT="2025-02-07T09:20:29.00" personId="{6ba77c55-b734-43d2-9fff-5eb5f6d435c4}" id="{00b8a561-3896-482f-b3db-31b19f83ac76}" done="0">
    <x18tc:text xml:space="preserve">Bandra av is 2.9 ( Highest is 5.4)
Kemps av is 8.2, Yours is the highest!! yayy!!</x18tc:text>
  </x18tc:threadedComment>
  <x18tc:threadedComment ref="G4" dT="2025-05-16T08:19:18.00" personId="{a976042f-0116-4579-bfaf-f8c42cd64d70}" id="{d73291a9-e02c-49d0-97ac-b9fde31afd90}" done="0">
    <x18tc:text xml:space="preserve">3 of 7 returned in Kemps
3 of 12 returned in Bandra
Total 31%</x18tc:text>
  </x18tc:threadedComment>
  <x18tc:threadedComment ref="H4" dT="2025-07-22T08:12:57.00" personId="{a976042f-0116-4579-bfaf-f8c42cd64d70}" id="{24155a02-f88a-4a45-80c7-10b304475cd8}" done="0">
    <x18tc:text xml:space="preserve">3 of 22
1 of 8
13%</x18tc:text>
  </x18tc:threadedComment>
  <x18tc:threadedComment ref="C4" dT="2025-02-07T09:23:57.00" personId="{6ba77c55-b734-43d2-9fff-5eb5f6d435c4}" id="{bdc74b7e-b6a5-4610-9eec-e25b000c7e47}" done="0">
    <x18tc:text xml:space="preserve">Kemps- 0% (0 out of 11 returned)
Bandra- 100% ( 1 out of 1 returned)</x18tc:text>
  </x18tc:threadedComment>
  <x18tc:threadedComment ref="C5" dT="2025-02-07T09:18:19.00" personId="{6ba77c55-b734-43d2-9fff-5eb5f6d435c4}" id="{4004d759-1764-45f9-9e60-5f985b6b02c8}" done="0">
    <x18tc:text xml:space="preserve">0+6.5 (no outreach sent)</x18tc:text>
  </x18tc:threadedComment>
  <x18tc:threadedComment ref="E4" dT="2025-04-23T07:57:07.00" personId="{a976042f-0116-4579-bfaf-f8c42cd64d70}" id="{f7c64a75-91f7-44cb-b13c-9838f5569954}" done="0">
    <x18tc:text xml:space="preserve">2 of 9 in Kemps
0 of 7 in Bandra
2 of 16 total = 12.5 %</x18tc:text>
  </x18tc:threadedComment>
  <x18tc:threadedComment ref="E3" dT="2025-04-23T07:55:21.00" personId="{a976042f-0116-4579-bfaf-f8c42cd64d70}" id="{5361a973-366d-41a0-83ec-c765df58cb2d}" done="0">
    <x18tc:text xml:space="preserve">6.7 Kemps
3.9 Bandra
5.8 Total</x18tc:text>
  </x18tc:threadedComment>
  <x18tc:threadedComment ref="A4" dT="2025-01-30T09:04:17.00" personId="{6ba77c55-b734-43d2-9fff-5eb5f6d435c4}" id="{9da3ff50-5c35-42dd-acf9-acb7827b2abd}" done="0">
    <x18tc:text xml:space="preserve">Min target =30%
20% and above= 12.5%
15 to 19.9%= 10.5
14.9 to 10% = 7.5
5 to 9.9% = 5
1 to 4.9% = 3
under 1 = 0</x18tc:text>
  </x18tc:threadedComment>
  <x18tc:threadedComment ref="A5" dT="2025-01-30T09:05:18.00" personId="{6ba77c55-b734-43d2-9fff-5eb5f6d435c4}" id="{1c084610-a550-46ca-ae76-7d5e1a4b3bd6}" done="0">
    <x18tc:text xml:space="preserve">70-100%= 5
50-69% = 2.5
30-49% = 0.5
below 30% = 0</x18tc:text>
  </x18tc:threadedComment>
  <x18tc:threadedComment ref="A3" dT="2025-01-30T09:03:52.00" personId="{6ba77c55-b734-43d2-9fff-5eb5f6d435c4}" id="{62f208b8-7bc0-4edb-90f2-0eacc6a3aa26}" done="0">
    <x18tc:text xml:space="preserve">100% and above =12.5
75-99%= 10.5
60-74%= 7.5
45 to 59%= 5
30 to 44%= 3
under 30% = 0</x18tc:text>
  </x18tc:threadedComment>
  <x18tc:threadedComment ref="C12" dT="2025-02-07T09:36:12.00" personId="{6ba77c55-b734-43d2-9fff-5eb5f6d435c4}" id="{39c1222b-b3d6-4527-823c-eef74fd21e1d}" done="0">
    <x18tc:text xml:space="preserve">Meetings/workshop- 5/5, class attended-3/4, Empty hour-1/1</x18tc:text>
  </x18tc:threadedComment>
  <x18tc:threadedComment ref="C12" dT="2025-02-07T09:36:53.00" personId="{6ba77c55-b734-43d2-9fff-5eb5f6d435c4}" id="{3c5b5d80-1424-418f-95f1-ae8865e9f423}" parentId="{39c1222b-b3d6-4527-823c-eef74fd21e1d}">
    <x18tc:text xml:space="preserve">5+5</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2.xml"/><Relationship Id="rId5"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3.xml"/><Relationship Id="rId5"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4.xml"/><Relationship Id="rId5"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63"/>
    <col customWidth="1" min="14" max="14" width="15.25"/>
  </cols>
  <sheetData>
    <row r="1">
      <c r="A1" s="1"/>
      <c r="B1" s="2" t="s">
        <v>0</v>
      </c>
      <c r="C1" s="2" t="s">
        <v>1</v>
      </c>
      <c r="D1" s="2" t="s">
        <v>2</v>
      </c>
      <c r="E1" s="2" t="s">
        <v>3</v>
      </c>
      <c r="F1" s="2" t="s">
        <v>4</v>
      </c>
      <c r="G1" s="2" t="s">
        <v>5</v>
      </c>
      <c r="H1" s="2" t="s">
        <v>6</v>
      </c>
      <c r="I1" s="2" t="s">
        <v>7</v>
      </c>
      <c r="J1" s="2" t="s">
        <v>8</v>
      </c>
      <c r="K1" s="2" t="s">
        <v>9</v>
      </c>
      <c r="L1" s="2" t="s">
        <v>10</v>
      </c>
      <c r="M1" s="3" t="s">
        <v>11</v>
      </c>
      <c r="N1" s="3" t="s">
        <v>12</v>
      </c>
    </row>
    <row r="2">
      <c r="A2" s="1"/>
      <c r="B2" s="1"/>
      <c r="C2" s="1"/>
      <c r="D2" s="1"/>
      <c r="E2" s="1"/>
      <c r="F2" s="1"/>
      <c r="G2" s="1"/>
      <c r="H2" s="1"/>
      <c r="I2" s="1"/>
      <c r="J2" s="1"/>
      <c r="K2" s="1"/>
      <c r="L2" s="1"/>
    </row>
    <row r="3">
      <c r="A3" s="4" t="s">
        <v>13</v>
      </c>
      <c r="B3" s="2"/>
      <c r="C3" s="2"/>
      <c r="D3" s="1"/>
      <c r="E3" s="1"/>
      <c r="F3" s="1"/>
      <c r="G3" s="1"/>
      <c r="H3" s="1"/>
      <c r="I3" s="1"/>
      <c r="J3" s="1"/>
      <c r="K3" s="1"/>
      <c r="L3" s="1"/>
    </row>
    <row r="4">
      <c r="A4" s="2" t="s">
        <v>14</v>
      </c>
      <c r="B4" s="2">
        <v>3.0</v>
      </c>
      <c r="C4" s="5">
        <v>2.8</v>
      </c>
      <c r="D4" s="6">
        <v>4.5</v>
      </c>
      <c r="E4" s="7">
        <v>5.3</v>
      </c>
      <c r="F4" s="6">
        <v>6.0</v>
      </c>
      <c r="G4" s="5">
        <v>4.8</v>
      </c>
      <c r="H4" s="8">
        <v>3.9</v>
      </c>
      <c r="I4" s="7">
        <v>4.8</v>
      </c>
      <c r="J4" s="7">
        <v>5.0</v>
      </c>
      <c r="K4" s="7">
        <v>5.3</v>
      </c>
      <c r="L4" s="9">
        <v>5.0</v>
      </c>
      <c r="M4" s="3" t="s">
        <v>15</v>
      </c>
      <c r="N4" s="10">
        <f>AVERAGE(B4:M4)</f>
        <v>4.581818182</v>
      </c>
    </row>
    <row r="5">
      <c r="A5" s="4" t="s">
        <v>16</v>
      </c>
      <c r="B5" s="2" t="s">
        <v>15</v>
      </c>
      <c r="C5" s="11">
        <v>-0.0667</v>
      </c>
      <c r="D5" s="12" t="s">
        <v>17</v>
      </c>
      <c r="E5" s="12" t="s">
        <v>18</v>
      </c>
      <c r="F5" s="12" t="s">
        <v>19</v>
      </c>
      <c r="G5" s="13">
        <v>-0.2</v>
      </c>
      <c r="H5" s="11">
        <f>H4/G4-1</f>
        <v>-0.1875</v>
      </c>
      <c r="I5" s="12" t="s">
        <v>20</v>
      </c>
      <c r="J5" s="12" t="s">
        <v>21</v>
      </c>
      <c r="K5" s="12" t="s">
        <v>22</v>
      </c>
      <c r="L5" s="11">
        <v>-0.0566</v>
      </c>
      <c r="N5" s="14">
        <v>0.072</v>
      </c>
    </row>
    <row r="6">
      <c r="A6" s="4" t="s">
        <v>23</v>
      </c>
      <c r="B6" s="13">
        <v>0.4</v>
      </c>
      <c r="C6" s="13">
        <v>0.0</v>
      </c>
      <c r="D6" s="11">
        <v>0.1111</v>
      </c>
      <c r="E6" s="13">
        <v>0.25</v>
      </c>
      <c r="F6" s="13">
        <v>0.5</v>
      </c>
      <c r="G6" s="13">
        <v>0.35</v>
      </c>
      <c r="H6" s="11">
        <v>0.455</v>
      </c>
      <c r="I6" s="13">
        <v>0.33</v>
      </c>
      <c r="J6" s="13">
        <v>0.43</v>
      </c>
      <c r="K6" s="13">
        <v>0.0</v>
      </c>
      <c r="L6" s="2" t="s">
        <v>15</v>
      </c>
      <c r="N6" s="14">
        <f>AVERAGE(B6:M6)</f>
        <v>0.28261</v>
      </c>
    </row>
    <row r="7">
      <c r="A7" s="1"/>
      <c r="B7" s="1"/>
      <c r="C7" s="1"/>
      <c r="D7" s="1"/>
      <c r="E7" s="15"/>
      <c r="F7" s="1"/>
      <c r="G7" s="1"/>
      <c r="H7" s="1"/>
      <c r="I7" s="1"/>
      <c r="J7" s="1"/>
      <c r="K7" s="1"/>
      <c r="L7" s="1"/>
    </row>
    <row r="8">
      <c r="A8" s="4" t="s">
        <v>24</v>
      </c>
      <c r="B8" s="2"/>
      <c r="C8" s="2"/>
      <c r="D8" s="16"/>
      <c r="E8" s="16"/>
      <c r="F8" s="16"/>
      <c r="G8" s="1"/>
      <c r="H8" s="1"/>
      <c r="I8" s="1"/>
      <c r="J8" s="1"/>
      <c r="K8" s="1"/>
      <c r="L8" s="1"/>
    </row>
    <row r="9">
      <c r="A9" s="2" t="s">
        <v>25</v>
      </c>
      <c r="B9" s="2">
        <v>2.0</v>
      </c>
      <c r="C9" s="5">
        <v>1.1</v>
      </c>
      <c r="D9" s="6">
        <v>1.5</v>
      </c>
      <c r="E9" s="7">
        <v>1.5</v>
      </c>
      <c r="F9" s="7">
        <v>2.1</v>
      </c>
      <c r="G9" s="2" t="s">
        <v>15</v>
      </c>
      <c r="H9" s="2" t="s">
        <v>15</v>
      </c>
      <c r="I9" s="2">
        <v>2.0</v>
      </c>
      <c r="J9" s="5">
        <v>0.8</v>
      </c>
      <c r="K9" s="17">
        <v>1.0</v>
      </c>
      <c r="L9" s="18">
        <v>2.2</v>
      </c>
      <c r="M9" s="3" t="s">
        <v>15</v>
      </c>
      <c r="N9" s="10">
        <f>AVERAGE(B9:M9)</f>
        <v>1.577777778</v>
      </c>
    </row>
    <row r="10">
      <c r="A10" s="4" t="s">
        <v>16</v>
      </c>
      <c r="B10" s="2" t="s">
        <v>15</v>
      </c>
      <c r="C10" s="13">
        <v>-0.45</v>
      </c>
      <c r="D10" s="12" t="s">
        <v>26</v>
      </c>
      <c r="E10" s="13">
        <v>0.0</v>
      </c>
      <c r="F10" s="12" t="s">
        <v>27</v>
      </c>
      <c r="G10" s="2" t="s">
        <v>15</v>
      </c>
      <c r="H10" s="2" t="s">
        <v>28</v>
      </c>
      <c r="I10" s="2" t="s">
        <v>15</v>
      </c>
      <c r="J10" s="11">
        <v>-0.012</v>
      </c>
      <c r="K10" s="12" t="s">
        <v>29</v>
      </c>
      <c r="L10" s="12" t="s">
        <v>30</v>
      </c>
      <c r="N10" s="14">
        <v>0.029</v>
      </c>
    </row>
    <row r="11">
      <c r="A11" s="4" t="s">
        <v>23</v>
      </c>
      <c r="B11" s="13">
        <v>0.33</v>
      </c>
      <c r="C11" s="2" t="s">
        <v>15</v>
      </c>
      <c r="D11" s="11">
        <v>0.6667</v>
      </c>
      <c r="E11" s="2" t="s">
        <v>15</v>
      </c>
      <c r="F11" s="11">
        <v>0.1667</v>
      </c>
      <c r="G11" s="2" t="s">
        <v>15</v>
      </c>
      <c r="H11" s="2" t="s">
        <v>15</v>
      </c>
      <c r="I11" s="13">
        <v>0.0</v>
      </c>
      <c r="J11" s="2" t="s">
        <v>15</v>
      </c>
      <c r="K11" s="13">
        <v>0.0</v>
      </c>
      <c r="L11" s="13">
        <v>0.5</v>
      </c>
      <c r="N11" s="14">
        <f>AVERAGE(B11:M11)</f>
        <v>0.2772333333</v>
      </c>
    </row>
    <row r="12">
      <c r="A12" s="1"/>
      <c r="B12" s="1"/>
      <c r="C12" s="1"/>
      <c r="D12" s="1"/>
      <c r="E12" s="1"/>
      <c r="F12" s="1"/>
      <c r="G12" s="1"/>
      <c r="H12" s="1"/>
      <c r="I12" s="1"/>
      <c r="J12" s="1"/>
      <c r="K12" s="1"/>
      <c r="L12" s="1"/>
    </row>
    <row r="13">
      <c r="A13" s="2" t="s">
        <v>31</v>
      </c>
      <c r="B13" s="1"/>
      <c r="C13" s="1"/>
      <c r="D13" s="2">
        <v>8.0</v>
      </c>
      <c r="E13" s="2">
        <v>7.0</v>
      </c>
      <c r="F13" s="2">
        <v>3.0</v>
      </c>
      <c r="G13" s="2">
        <v>0.0</v>
      </c>
      <c r="H13" s="2">
        <v>2.0</v>
      </c>
      <c r="I13" s="2">
        <v>0.0</v>
      </c>
      <c r="J13" s="2">
        <v>1.0</v>
      </c>
      <c r="K13" s="2">
        <v>5.0</v>
      </c>
      <c r="L13" s="2">
        <v>0.0</v>
      </c>
      <c r="N13" s="19">
        <f>SUM(D13:M13)</f>
        <v>26</v>
      </c>
    </row>
    <row r="14">
      <c r="A14" s="2"/>
      <c r="B14" s="1"/>
      <c r="C14" s="1"/>
      <c r="D14" s="1"/>
      <c r="E14" s="1"/>
      <c r="F14" s="1"/>
      <c r="G14" s="1"/>
      <c r="H14" s="1"/>
      <c r="I14" s="1"/>
      <c r="J14" s="1"/>
      <c r="K14" s="1"/>
      <c r="L14" s="1"/>
    </row>
    <row r="15">
      <c r="A15" s="2" t="s">
        <v>32</v>
      </c>
      <c r="B15" s="1"/>
      <c r="C15" s="1"/>
      <c r="D15" s="2">
        <v>8.0</v>
      </c>
      <c r="E15" s="2">
        <v>7.0</v>
      </c>
      <c r="F15" s="2">
        <v>3.0</v>
      </c>
      <c r="G15" s="2">
        <v>0.0</v>
      </c>
      <c r="H15" s="2">
        <v>0.0</v>
      </c>
      <c r="I15" s="2">
        <v>0.0</v>
      </c>
      <c r="J15" s="2">
        <v>1.0</v>
      </c>
      <c r="K15" s="2">
        <v>0.0</v>
      </c>
      <c r="L15" s="2">
        <v>0.0</v>
      </c>
      <c r="N15" s="19">
        <f>SUM(D15:M15)</f>
        <v>19</v>
      </c>
    </row>
    <row r="16">
      <c r="A16" s="2"/>
      <c r="B16" s="1"/>
      <c r="C16" s="1"/>
      <c r="D16" s="1"/>
      <c r="E16" s="1"/>
      <c r="F16" s="1"/>
      <c r="G16" s="1"/>
      <c r="H16" s="1"/>
      <c r="I16" s="1"/>
      <c r="J16" s="1"/>
      <c r="K16" s="1"/>
      <c r="L16" s="1"/>
    </row>
    <row r="17">
      <c r="A17" s="2" t="s">
        <v>33</v>
      </c>
      <c r="B17" s="1"/>
      <c r="C17" s="1"/>
      <c r="D17" s="1"/>
      <c r="E17" s="2">
        <v>7.0</v>
      </c>
      <c r="F17" s="2">
        <v>6.0</v>
      </c>
      <c r="G17" s="2">
        <v>7.0</v>
      </c>
      <c r="H17" s="2" t="s">
        <v>34</v>
      </c>
      <c r="I17" s="2" t="s">
        <v>35</v>
      </c>
      <c r="J17" s="2">
        <v>2.0</v>
      </c>
      <c r="K17" s="2">
        <v>0.0</v>
      </c>
      <c r="L17" s="2" t="s">
        <v>34</v>
      </c>
      <c r="N17" s="3">
        <v>40.0</v>
      </c>
    </row>
    <row r="18">
      <c r="A18" s="2"/>
      <c r="B18" s="1"/>
      <c r="C18" s="1"/>
      <c r="D18" s="1"/>
      <c r="E18" s="1"/>
      <c r="F18" s="1"/>
      <c r="G18" s="1"/>
      <c r="H18" s="1"/>
      <c r="I18" s="1"/>
      <c r="J18" s="1"/>
      <c r="K18" s="1"/>
      <c r="L18" s="1"/>
    </row>
    <row r="19">
      <c r="A19" s="2" t="s">
        <v>36</v>
      </c>
      <c r="B19" s="2" t="s">
        <v>15</v>
      </c>
      <c r="C19" s="2" t="s">
        <v>15</v>
      </c>
      <c r="D19" s="2" t="s">
        <v>15</v>
      </c>
      <c r="E19" s="2" t="s">
        <v>15</v>
      </c>
      <c r="F19" s="2" t="s">
        <v>15</v>
      </c>
      <c r="G19" s="2" t="s">
        <v>15</v>
      </c>
      <c r="H19" s="2" t="s">
        <v>15</v>
      </c>
      <c r="I19" s="2" t="s">
        <v>15</v>
      </c>
      <c r="J19" s="2" t="s">
        <v>15</v>
      </c>
      <c r="K19" s="20">
        <v>45079.0</v>
      </c>
      <c r="L19" s="1"/>
      <c r="N19" s="21">
        <v>45445.0</v>
      </c>
    </row>
    <row r="20">
      <c r="A20" s="2"/>
      <c r="B20" s="1"/>
      <c r="C20" s="1"/>
      <c r="D20" s="22"/>
      <c r="E20" s="1"/>
      <c r="F20" s="1"/>
      <c r="G20" s="2"/>
      <c r="H20" s="22"/>
      <c r="I20" s="1"/>
      <c r="J20" s="1"/>
      <c r="K20" s="1"/>
      <c r="L20" s="1"/>
    </row>
    <row r="21">
      <c r="A21" s="2" t="s">
        <v>37</v>
      </c>
      <c r="B21" s="1"/>
      <c r="C21" s="1"/>
      <c r="D21" s="22" t="s">
        <v>38</v>
      </c>
      <c r="E21" s="1"/>
      <c r="F21" s="1"/>
      <c r="G21" s="2" t="s">
        <v>39</v>
      </c>
      <c r="H21" s="22" t="s">
        <v>40</v>
      </c>
      <c r="I21" s="1"/>
      <c r="J21" s="1"/>
      <c r="K21" s="2" t="s">
        <v>41</v>
      </c>
      <c r="L21" s="2" t="s">
        <v>42</v>
      </c>
      <c r="M21" s="3" t="s">
        <v>43</v>
      </c>
    </row>
    <row r="22">
      <c r="A22" s="1"/>
      <c r="B22" s="1"/>
      <c r="C22" s="1"/>
      <c r="D22" s="1"/>
      <c r="F22" s="1"/>
      <c r="G22" s="1"/>
      <c r="H22" s="1"/>
      <c r="I22" s="1"/>
      <c r="J22" s="1"/>
      <c r="K22" s="1"/>
      <c r="L22" s="1"/>
    </row>
    <row r="23">
      <c r="A23" s="2" t="s">
        <v>44</v>
      </c>
      <c r="B23" s="1"/>
      <c r="C23" s="22"/>
      <c r="D23" s="22" t="s">
        <v>45</v>
      </c>
      <c r="E23" s="22" t="s">
        <v>46</v>
      </c>
      <c r="F23" s="1"/>
      <c r="G23" s="22" t="s">
        <v>47</v>
      </c>
      <c r="H23" s="22" t="s">
        <v>48</v>
      </c>
      <c r="I23" s="22" t="s">
        <v>49</v>
      </c>
      <c r="J23" s="22" t="s">
        <v>50</v>
      </c>
      <c r="K23" s="22" t="s">
        <v>51</v>
      </c>
      <c r="L23" s="22" t="s">
        <v>52</v>
      </c>
    </row>
    <row r="24">
      <c r="A24" s="1"/>
      <c r="B24" s="1"/>
      <c r="C24" s="1"/>
      <c r="D24" s="1"/>
      <c r="E24" s="1"/>
      <c r="F24" s="1"/>
      <c r="H24" s="1"/>
      <c r="I24" s="1"/>
      <c r="J24" s="1"/>
      <c r="K24" s="1"/>
      <c r="L24" s="1"/>
    </row>
    <row r="25">
      <c r="A25" s="1"/>
      <c r="B25" s="1"/>
      <c r="C25" s="1"/>
      <c r="D25" s="1"/>
      <c r="E25" s="1"/>
      <c r="F25" s="1"/>
      <c r="H25" s="1"/>
      <c r="I25" s="1"/>
      <c r="J25" s="1"/>
      <c r="K25" s="1"/>
      <c r="L25" s="1"/>
    </row>
    <row r="26">
      <c r="A26" s="2" t="s">
        <v>53</v>
      </c>
      <c r="B26" s="22" t="s">
        <v>54</v>
      </c>
      <c r="C26" s="22" t="s">
        <v>54</v>
      </c>
      <c r="D26" s="22" t="s">
        <v>55</v>
      </c>
      <c r="E26" s="1"/>
      <c r="F26" s="1"/>
      <c r="G26" s="22" t="s">
        <v>56</v>
      </c>
      <c r="H26" s="1"/>
      <c r="I26" s="22" t="s">
        <v>57</v>
      </c>
      <c r="J26" s="22" t="s">
        <v>58</v>
      </c>
      <c r="K26" s="1"/>
      <c r="L26" s="1"/>
    </row>
    <row r="27">
      <c r="A27" s="1"/>
      <c r="B27" s="1"/>
      <c r="C27" s="1"/>
      <c r="D27" s="1"/>
      <c r="E27" s="1"/>
      <c r="F27" s="1"/>
      <c r="G27" s="1"/>
      <c r="H27" s="1"/>
      <c r="I27" s="1"/>
      <c r="J27" s="1"/>
      <c r="K27" s="1"/>
      <c r="L27" s="1"/>
    </row>
    <row r="28">
      <c r="A28" s="2" t="s">
        <v>59</v>
      </c>
      <c r="B28" s="4" t="s">
        <v>60</v>
      </c>
      <c r="C28" s="23" t="s">
        <v>61</v>
      </c>
      <c r="D28" s="22" t="s">
        <v>62</v>
      </c>
      <c r="E28" s="22" t="s">
        <v>63</v>
      </c>
      <c r="F28" s="1"/>
      <c r="G28" s="4" t="s">
        <v>64</v>
      </c>
      <c r="H28" s="4" t="s">
        <v>65</v>
      </c>
      <c r="I28" s="1"/>
      <c r="J28" s="1"/>
      <c r="K28" s="1"/>
      <c r="L28" s="1"/>
    </row>
    <row r="30">
      <c r="C30" s="23" t="s">
        <v>66</v>
      </c>
    </row>
  </sheetData>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0"/>
    <col customWidth="1" min="4" max="4" width="39.38"/>
    <col customWidth="1" min="7" max="7" width="39.38"/>
  </cols>
  <sheetData>
    <row r="1">
      <c r="A1" s="24" t="s">
        <v>67</v>
      </c>
      <c r="B1" s="25"/>
      <c r="C1" s="25"/>
      <c r="D1" s="25"/>
      <c r="E1" s="26"/>
    </row>
    <row r="2">
      <c r="A2" s="27"/>
      <c r="B2" s="27"/>
      <c r="C2" s="27"/>
      <c r="D2" s="27"/>
      <c r="E2" s="27"/>
    </row>
    <row r="3">
      <c r="A3" s="28"/>
      <c r="B3" s="29"/>
      <c r="C3" s="29"/>
      <c r="D3" s="29"/>
      <c r="E3" s="30"/>
    </row>
    <row r="4">
      <c r="A4" s="31" t="s">
        <v>68</v>
      </c>
      <c r="B4" s="29"/>
      <c r="C4" s="29"/>
      <c r="D4" s="29"/>
      <c r="E4" s="30"/>
    </row>
    <row r="5">
      <c r="A5" s="27"/>
      <c r="B5" s="27"/>
      <c r="C5" s="27"/>
      <c r="D5" s="27"/>
      <c r="E5" s="27"/>
    </row>
    <row r="6">
      <c r="A6" s="32" t="s">
        <v>69</v>
      </c>
      <c r="B6" s="33" t="s">
        <v>70</v>
      </c>
      <c r="C6" s="34" t="s">
        <v>71</v>
      </c>
      <c r="D6" s="34" t="s">
        <v>72</v>
      </c>
      <c r="E6" s="34"/>
    </row>
    <row r="7">
      <c r="A7" s="35"/>
      <c r="B7" s="36"/>
      <c r="C7" s="36"/>
      <c r="D7" s="36"/>
      <c r="E7" s="36"/>
    </row>
    <row r="8">
      <c r="A8" s="37">
        <v>12.5</v>
      </c>
      <c r="B8" s="38" t="s">
        <v>73</v>
      </c>
      <c r="C8" s="39">
        <v>10.5</v>
      </c>
      <c r="D8" s="40" t="s">
        <v>74</v>
      </c>
      <c r="E8" s="41"/>
      <c r="G8" s="42"/>
    </row>
    <row r="9">
      <c r="A9" s="37">
        <v>12.5</v>
      </c>
      <c r="B9" s="38" t="s">
        <v>75</v>
      </c>
      <c r="C9" s="39">
        <v>12.5</v>
      </c>
      <c r="D9" s="40" t="s">
        <v>76</v>
      </c>
      <c r="E9" s="41"/>
    </row>
    <row r="10">
      <c r="A10" s="37">
        <v>12.5</v>
      </c>
      <c r="B10" s="38" t="s">
        <v>77</v>
      </c>
      <c r="C10" s="39">
        <v>10.5</v>
      </c>
      <c r="D10" s="40" t="s">
        <v>78</v>
      </c>
      <c r="E10" s="41"/>
      <c r="G10" s="42"/>
    </row>
    <row r="11">
      <c r="A11" s="37">
        <v>12.5</v>
      </c>
      <c r="B11" s="38" t="s">
        <v>79</v>
      </c>
      <c r="C11" s="39">
        <v>11.0</v>
      </c>
      <c r="D11" s="42" t="s">
        <v>80</v>
      </c>
      <c r="E11" s="41"/>
      <c r="G11" s="42"/>
    </row>
    <row r="12">
      <c r="A12" s="37">
        <v>8.0</v>
      </c>
      <c r="B12" s="38" t="s">
        <v>81</v>
      </c>
      <c r="C12" s="39">
        <v>6.5</v>
      </c>
      <c r="D12" s="42" t="s">
        <v>82</v>
      </c>
      <c r="E12" s="41"/>
    </row>
    <row r="13">
      <c r="A13" s="37">
        <v>8.0</v>
      </c>
      <c r="B13" s="38" t="s">
        <v>83</v>
      </c>
      <c r="C13" s="39">
        <v>7.0</v>
      </c>
      <c r="D13" s="42" t="s">
        <v>84</v>
      </c>
      <c r="E13" s="41"/>
    </row>
    <row r="14">
      <c r="A14" s="37">
        <v>8.0</v>
      </c>
      <c r="B14" s="38" t="s">
        <v>85</v>
      </c>
      <c r="C14" s="39">
        <v>6.0</v>
      </c>
      <c r="D14" s="42" t="s">
        <v>86</v>
      </c>
      <c r="E14" s="41"/>
    </row>
    <row r="15">
      <c r="A15" s="37">
        <v>8.0</v>
      </c>
      <c r="B15" s="38" t="s">
        <v>87</v>
      </c>
      <c r="C15" s="39">
        <v>6.5</v>
      </c>
      <c r="D15" s="42" t="s">
        <v>88</v>
      </c>
      <c r="E15" s="41"/>
    </row>
    <row r="16">
      <c r="A16" s="37">
        <v>8.0</v>
      </c>
      <c r="B16" s="38" t="s">
        <v>89</v>
      </c>
      <c r="C16" s="39">
        <v>6.0</v>
      </c>
      <c r="D16" s="42" t="s">
        <v>90</v>
      </c>
      <c r="E16" s="41"/>
      <c r="G16" s="43"/>
    </row>
    <row r="17">
      <c r="A17" s="37">
        <v>10.0</v>
      </c>
      <c r="B17" s="38" t="s">
        <v>91</v>
      </c>
      <c r="C17" s="39">
        <v>7.0</v>
      </c>
      <c r="D17" s="44" t="s">
        <v>92</v>
      </c>
      <c r="E17" s="36"/>
    </row>
    <row r="18">
      <c r="A18" s="37">
        <v>100.0</v>
      </c>
      <c r="B18" s="34" t="s">
        <v>93</v>
      </c>
      <c r="C18" s="45">
        <f>SUM(C8:C17)</f>
        <v>83.5</v>
      </c>
      <c r="D18" s="36"/>
      <c r="E18" s="46"/>
    </row>
    <row r="20">
      <c r="A20" s="43" t="s">
        <v>94</v>
      </c>
      <c r="B20" s="47" t="s">
        <v>95</v>
      </c>
    </row>
  </sheetData>
  <mergeCells count="4">
    <mergeCell ref="A1:E1"/>
    <mergeCell ref="A3:E3"/>
    <mergeCell ref="A4:E4"/>
    <mergeCell ref="B20:E20"/>
  </mergeCells>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9.5"/>
  </cols>
  <sheetData>
    <row r="1">
      <c r="A1" s="48"/>
      <c r="B1" s="48"/>
      <c r="C1" s="49" t="s">
        <v>0</v>
      </c>
      <c r="D1" s="49" t="s">
        <v>1</v>
      </c>
      <c r="E1" s="49" t="s">
        <v>2</v>
      </c>
      <c r="F1" s="50" t="s">
        <v>96</v>
      </c>
      <c r="G1" s="49" t="s">
        <v>3</v>
      </c>
      <c r="H1" s="49" t="s">
        <v>4</v>
      </c>
      <c r="I1" s="49" t="s">
        <v>5</v>
      </c>
      <c r="J1" s="50" t="s">
        <v>96</v>
      </c>
      <c r="K1" s="2" t="s">
        <v>6</v>
      </c>
      <c r="L1" s="3" t="s">
        <v>97</v>
      </c>
      <c r="M1" s="3" t="s">
        <v>98</v>
      </c>
      <c r="N1" s="51" t="s">
        <v>96</v>
      </c>
      <c r="O1" s="2" t="s">
        <v>99</v>
      </c>
      <c r="P1" s="2" t="s">
        <v>100</v>
      </c>
      <c r="Q1" s="2" t="s">
        <v>101</v>
      </c>
      <c r="R1" s="51" t="s">
        <v>96</v>
      </c>
    </row>
    <row r="2">
      <c r="A2" s="49" t="s">
        <v>102</v>
      </c>
      <c r="B2" s="49" t="s">
        <v>70</v>
      </c>
      <c r="C2" s="48"/>
      <c r="D2" s="48"/>
      <c r="E2" s="48"/>
      <c r="F2" s="48"/>
      <c r="G2" s="48"/>
      <c r="H2" s="48"/>
      <c r="I2" s="48"/>
      <c r="J2" s="48"/>
    </row>
    <row r="3">
      <c r="A3" s="49">
        <v>12.5</v>
      </c>
      <c r="B3" s="49" t="s">
        <v>73</v>
      </c>
      <c r="C3" s="52">
        <v>10.5</v>
      </c>
      <c r="D3" s="52">
        <v>10.5</v>
      </c>
      <c r="E3" s="52">
        <v>10.5</v>
      </c>
      <c r="F3" s="53">
        <f t="shared" ref="F3:F13" si="1">SUM(C3:E3)</f>
        <v>31.5</v>
      </c>
      <c r="G3" s="52">
        <v>12.5</v>
      </c>
      <c r="H3" s="52">
        <v>10.5</v>
      </c>
      <c r="I3" s="52">
        <v>7.5</v>
      </c>
      <c r="J3" s="53">
        <f t="shared" ref="J3:J12" si="2">G3+H3+I3</f>
        <v>30.5</v>
      </c>
      <c r="K3" s="3">
        <v>10.5</v>
      </c>
      <c r="L3" s="3">
        <v>7.5</v>
      </c>
      <c r="M3" s="3">
        <v>5.0</v>
      </c>
      <c r="N3" s="54">
        <f t="shared" ref="N3:N13" si="3">L3+K3+M3</f>
        <v>23</v>
      </c>
      <c r="O3" s="3">
        <v>7.5</v>
      </c>
      <c r="P3" s="3">
        <v>10.5</v>
      </c>
      <c r="Q3" s="3">
        <v>7.5</v>
      </c>
      <c r="R3" s="54">
        <f t="shared" ref="R3:R13" si="4">Q3+P3+O3</f>
        <v>25.5</v>
      </c>
    </row>
    <row r="4">
      <c r="A4" s="49">
        <v>12.5</v>
      </c>
      <c r="B4" s="49" t="s">
        <v>103</v>
      </c>
      <c r="C4" s="52">
        <v>3.0</v>
      </c>
      <c r="D4" s="52">
        <v>10.5</v>
      </c>
      <c r="E4" s="52">
        <v>5.0</v>
      </c>
      <c r="F4" s="53">
        <f t="shared" si="1"/>
        <v>18.5</v>
      </c>
      <c r="G4" s="52">
        <v>12.5</v>
      </c>
      <c r="H4" s="52">
        <v>5.0</v>
      </c>
      <c r="I4" s="52">
        <v>12.5</v>
      </c>
      <c r="J4" s="53">
        <f t="shared" si="2"/>
        <v>30</v>
      </c>
      <c r="K4" s="3">
        <v>12.5</v>
      </c>
      <c r="L4" s="3">
        <v>12.5</v>
      </c>
      <c r="M4" s="3">
        <v>12.5</v>
      </c>
      <c r="N4" s="54">
        <f t="shared" si="3"/>
        <v>37.5</v>
      </c>
      <c r="O4" s="3">
        <v>0.0</v>
      </c>
      <c r="P4" s="3">
        <v>12.5</v>
      </c>
      <c r="Q4" s="3">
        <v>12.5</v>
      </c>
      <c r="R4" s="54">
        <f t="shared" si="4"/>
        <v>25</v>
      </c>
    </row>
    <row r="5">
      <c r="A5" s="49">
        <v>12.5</v>
      </c>
      <c r="B5" s="55" t="s">
        <v>104</v>
      </c>
      <c r="C5" s="52">
        <v>6.5</v>
      </c>
      <c r="D5" s="52">
        <v>6.0</v>
      </c>
      <c r="E5" s="52">
        <v>6.5</v>
      </c>
      <c r="F5" s="53">
        <f t="shared" si="1"/>
        <v>19</v>
      </c>
      <c r="G5" s="52">
        <v>12.5</v>
      </c>
      <c r="H5" s="52">
        <v>7.5</v>
      </c>
      <c r="I5" s="52">
        <v>7.5</v>
      </c>
      <c r="J5" s="53">
        <f t="shared" si="2"/>
        <v>27.5</v>
      </c>
      <c r="K5" s="3">
        <v>7.5</v>
      </c>
      <c r="L5" s="3">
        <v>7.5</v>
      </c>
      <c r="M5" s="3">
        <v>12.5</v>
      </c>
      <c r="N5" s="54">
        <f t="shared" si="3"/>
        <v>27.5</v>
      </c>
      <c r="O5" s="3">
        <v>6.5</v>
      </c>
      <c r="P5" s="3">
        <v>12.0</v>
      </c>
      <c r="Q5" s="3">
        <v>12.5</v>
      </c>
      <c r="R5" s="54">
        <f t="shared" si="4"/>
        <v>31</v>
      </c>
    </row>
    <row r="6">
      <c r="A6" s="49">
        <v>12.5</v>
      </c>
      <c r="B6" s="49" t="s">
        <v>79</v>
      </c>
      <c r="C6" s="52">
        <v>11.5</v>
      </c>
      <c r="D6" s="52">
        <v>10.0</v>
      </c>
      <c r="E6" s="52">
        <v>10.0</v>
      </c>
      <c r="F6" s="53">
        <f t="shared" si="1"/>
        <v>31.5</v>
      </c>
      <c r="G6" s="52">
        <v>10.0</v>
      </c>
      <c r="H6" s="52">
        <v>11.0</v>
      </c>
      <c r="I6" s="52">
        <v>12.0</v>
      </c>
      <c r="J6" s="53">
        <f t="shared" si="2"/>
        <v>33</v>
      </c>
      <c r="K6" s="3">
        <v>12.0</v>
      </c>
      <c r="L6" s="3">
        <v>12.0</v>
      </c>
      <c r="M6" s="3">
        <v>12.0</v>
      </c>
      <c r="N6" s="54">
        <f t="shared" si="3"/>
        <v>36</v>
      </c>
      <c r="O6" s="3">
        <v>11.0</v>
      </c>
      <c r="P6" s="3">
        <v>12.0</v>
      </c>
      <c r="Q6" s="3">
        <v>12.5</v>
      </c>
      <c r="R6" s="54">
        <f t="shared" si="4"/>
        <v>35.5</v>
      </c>
    </row>
    <row r="7">
      <c r="A7" s="49">
        <v>8.0</v>
      </c>
      <c r="B7" s="55" t="s">
        <v>105</v>
      </c>
      <c r="C7" s="52">
        <v>6.5</v>
      </c>
      <c r="D7" s="52">
        <v>5.0</v>
      </c>
      <c r="E7" s="52">
        <v>6.5</v>
      </c>
      <c r="F7" s="53">
        <f t="shared" si="1"/>
        <v>18</v>
      </c>
      <c r="G7" s="52">
        <v>7.0</v>
      </c>
      <c r="H7" s="52">
        <v>5.0</v>
      </c>
      <c r="I7" s="52">
        <v>7.0</v>
      </c>
      <c r="J7" s="53">
        <f t="shared" si="2"/>
        <v>19</v>
      </c>
      <c r="K7" s="3">
        <v>6.5</v>
      </c>
      <c r="L7" s="3">
        <v>5.5</v>
      </c>
      <c r="M7" s="3">
        <v>5.5</v>
      </c>
      <c r="N7" s="54">
        <f t="shared" si="3"/>
        <v>17.5</v>
      </c>
      <c r="O7" s="3">
        <v>7.0</v>
      </c>
      <c r="P7" s="3">
        <v>8.0</v>
      </c>
      <c r="Q7" s="3">
        <v>7.0</v>
      </c>
      <c r="R7" s="54">
        <f t="shared" si="4"/>
        <v>22</v>
      </c>
    </row>
    <row r="8">
      <c r="A8" s="49">
        <v>8.0</v>
      </c>
      <c r="B8" s="49" t="s">
        <v>106</v>
      </c>
      <c r="C8" s="52">
        <v>6.5</v>
      </c>
      <c r="D8" s="52">
        <v>7.0</v>
      </c>
      <c r="E8" s="52">
        <v>5.5</v>
      </c>
      <c r="F8" s="53">
        <f t="shared" si="1"/>
        <v>19</v>
      </c>
      <c r="G8" s="52">
        <v>7.0</v>
      </c>
      <c r="H8" s="52">
        <v>7.0</v>
      </c>
      <c r="I8" s="52">
        <v>6.0</v>
      </c>
      <c r="J8" s="53">
        <f t="shared" si="2"/>
        <v>20</v>
      </c>
      <c r="K8" s="3">
        <v>7.0</v>
      </c>
      <c r="L8" s="3">
        <v>7.0</v>
      </c>
      <c r="M8" s="3">
        <v>6.5</v>
      </c>
      <c r="N8" s="54">
        <f t="shared" si="3"/>
        <v>20.5</v>
      </c>
      <c r="O8" s="3">
        <v>6.5</v>
      </c>
      <c r="P8" s="3">
        <v>7.0</v>
      </c>
      <c r="Q8" s="3">
        <v>8.0</v>
      </c>
      <c r="R8" s="54">
        <f t="shared" si="4"/>
        <v>21.5</v>
      </c>
    </row>
    <row r="9">
      <c r="A9" s="49">
        <v>8.0</v>
      </c>
      <c r="B9" s="55" t="s">
        <v>107</v>
      </c>
      <c r="C9" s="52">
        <v>7.5</v>
      </c>
      <c r="D9" s="52">
        <v>7.0</v>
      </c>
      <c r="E9" s="52">
        <v>7.5</v>
      </c>
      <c r="F9" s="53">
        <f t="shared" si="1"/>
        <v>22</v>
      </c>
      <c r="G9" s="52">
        <v>7.0</v>
      </c>
      <c r="H9" s="52">
        <v>7.0</v>
      </c>
      <c r="I9" s="52">
        <v>8.0</v>
      </c>
      <c r="J9" s="53">
        <f t="shared" si="2"/>
        <v>22</v>
      </c>
      <c r="K9" s="3">
        <v>6.5</v>
      </c>
      <c r="L9" s="3">
        <v>7.0</v>
      </c>
      <c r="M9" s="3">
        <v>7.0</v>
      </c>
      <c r="N9" s="54">
        <f t="shared" si="3"/>
        <v>20.5</v>
      </c>
      <c r="O9" s="3">
        <v>7.5</v>
      </c>
      <c r="P9" s="3">
        <v>8.0</v>
      </c>
      <c r="Q9" s="3">
        <v>7.0</v>
      </c>
      <c r="R9" s="54">
        <f t="shared" si="4"/>
        <v>22.5</v>
      </c>
    </row>
    <row r="10">
      <c r="A10" s="49">
        <v>8.0</v>
      </c>
      <c r="B10" s="49" t="s">
        <v>108</v>
      </c>
      <c r="C10" s="52">
        <v>7.0</v>
      </c>
      <c r="D10" s="52">
        <v>5.0</v>
      </c>
      <c r="E10" s="52">
        <v>7.0</v>
      </c>
      <c r="F10" s="53">
        <f t="shared" si="1"/>
        <v>19</v>
      </c>
      <c r="G10" s="52">
        <v>7.0</v>
      </c>
      <c r="H10" s="52">
        <v>6.5</v>
      </c>
      <c r="I10" s="52">
        <v>7.5</v>
      </c>
      <c r="J10" s="53">
        <f t="shared" si="2"/>
        <v>21</v>
      </c>
      <c r="K10" s="3">
        <v>6.0</v>
      </c>
      <c r="L10" s="3">
        <v>7.0</v>
      </c>
      <c r="M10" s="3">
        <v>7.5</v>
      </c>
      <c r="N10" s="54">
        <f t="shared" si="3"/>
        <v>20.5</v>
      </c>
      <c r="O10" s="3">
        <v>8.0</v>
      </c>
      <c r="P10" s="3">
        <v>6.5</v>
      </c>
      <c r="Q10" s="3">
        <v>5.0</v>
      </c>
      <c r="R10" s="54">
        <f t="shared" si="4"/>
        <v>19.5</v>
      </c>
    </row>
    <row r="11">
      <c r="A11" s="49">
        <v>8.0</v>
      </c>
      <c r="B11" s="55" t="s">
        <v>109</v>
      </c>
      <c r="C11" s="52">
        <v>6.5</v>
      </c>
      <c r="D11" s="52">
        <v>5.0</v>
      </c>
      <c r="E11" s="52">
        <v>6.5</v>
      </c>
      <c r="F11" s="53">
        <f t="shared" si="1"/>
        <v>18</v>
      </c>
      <c r="G11" s="52">
        <v>5.5</v>
      </c>
      <c r="H11" s="52">
        <v>5.5</v>
      </c>
      <c r="I11" s="52">
        <v>7.5</v>
      </c>
      <c r="J11" s="53">
        <f t="shared" si="2"/>
        <v>18.5</v>
      </c>
      <c r="K11" s="3">
        <v>8.0</v>
      </c>
      <c r="L11" s="3">
        <v>4.5</v>
      </c>
      <c r="M11" s="3">
        <v>6.5</v>
      </c>
      <c r="N11" s="54">
        <f t="shared" si="3"/>
        <v>19</v>
      </c>
      <c r="O11" s="3">
        <v>7.5</v>
      </c>
      <c r="P11" s="3">
        <v>8.0</v>
      </c>
      <c r="Q11" s="3">
        <v>7.0</v>
      </c>
      <c r="R11" s="54">
        <f t="shared" si="4"/>
        <v>22.5</v>
      </c>
    </row>
    <row r="12">
      <c r="A12" s="49">
        <v>10.0</v>
      </c>
      <c r="B12" s="55" t="s">
        <v>110</v>
      </c>
      <c r="C12" s="52">
        <v>5.0</v>
      </c>
      <c r="D12" s="52">
        <v>5.0</v>
      </c>
      <c r="E12" s="52">
        <v>2.5</v>
      </c>
      <c r="F12" s="53">
        <f t="shared" si="1"/>
        <v>12.5</v>
      </c>
      <c r="G12" s="52">
        <v>5.5</v>
      </c>
      <c r="H12" s="52">
        <v>10.0</v>
      </c>
      <c r="I12" s="52">
        <v>10.0</v>
      </c>
      <c r="J12" s="53">
        <f t="shared" si="2"/>
        <v>25.5</v>
      </c>
      <c r="K12" s="3">
        <v>10.0</v>
      </c>
      <c r="L12" s="3">
        <v>10.0</v>
      </c>
      <c r="M12" s="3">
        <v>10.0</v>
      </c>
      <c r="N12" s="54">
        <f t="shared" si="3"/>
        <v>30</v>
      </c>
      <c r="O12" s="3">
        <v>7.5</v>
      </c>
      <c r="P12" s="3">
        <v>10.0</v>
      </c>
      <c r="Q12" s="3">
        <v>10.0</v>
      </c>
      <c r="R12" s="54">
        <f t="shared" si="4"/>
        <v>27.5</v>
      </c>
    </row>
    <row r="13">
      <c r="A13" s="49">
        <v>100.0</v>
      </c>
      <c r="B13" s="48"/>
      <c r="C13" s="48">
        <f t="shared" ref="C13:D13" si="5">SUM(C3:C12)</f>
        <v>70.5</v>
      </c>
      <c r="D13" s="48">
        <f t="shared" si="5"/>
        <v>71</v>
      </c>
      <c r="E13" s="48">
        <f>SUM(E2:E12)</f>
        <v>67.5</v>
      </c>
      <c r="F13" s="53">
        <f t="shared" si="1"/>
        <v>209</v>
      </c>
      <c r="G13" s="48">
        <f t="shared" ref="G13:H13" si="6">SUM(G3:G12)</f>
        <v>86.5</v>
      </c>
      <c r="H13" s="48">
        <f t="shared" si="6"/>
        <v>75</v>
      </c>
      <c r="I13" s="48">
        <f>SUM(I2:I12)</f>
        <v>85.5</v>
      </c>
      <c r="J13" s="53">
        <f t="shared" ref="J13:M13" si="7">SUM(J3:J12)</f>
        <v>247</v>
      </c>
      <c r="K13" s="19">
        <f t="shared" si="7"/>
        <v>86.5</v>
      </c>
      <c r="L13" s="19">
        <f t="shared" si="7"/>
        <v>80.5</v>
      </c>
      <c r="M13" s="19">
        <f t="shared" si="7"/>
        <v>85</v>
      </c>
      <c r="N13" s="54">
        <f t="shared" si="3"/>
        <v>252</v>
      </c>
      <c r="O13" s="19">
        <f t="shared" ref="O13:Q13" si="8">SUM(O3:O12)</f>
        <v>69</v>
      </c>
      <c r="P13" s="19">
        <f t="shared" si="8"/>
        <v>94.5</v>
      </c>
      <c r="Q13" s="19">
        <f t="shared" si="8"/>
        <v>89</v>
      </c>
      <c r="R13" s="54">
        <f t="shared" si="4"/>
        <v>252.5</v>
      </c>
    </row>
    <row r="14">
      <c r="A14" s="48"/>
      <c r="B14" s="48"/>
      <c r="C14" s="48"/>
      <c r="D14" s="48"/>
      <c r="E14" s="48"/>
      <c r="F14" s="48"/>
      <c r="G14" s="56" t="s">
        <v>111</v>
      </c>
      <c r="H14" s="48"/>
      <c r="I14" s="48"/>
      <c r="J14" s="48"/>
      <c r="P14" s="57"/>
    </row>
    <row r="15" ht="36.0" customHeight="1">
      <c r="A15" s="48" t="s">
        <v>72</v>
      </c>
      <c r="B15" s="48"/>
      <c r="C15" s="56" t="s">
        <v>112</v>
      </c>
      <c r="D15" s="56" t="s">
        <v>113</v>
      </c>
      <c r="E15" s="56" t="s">
        <v>114</v>
      </c>
      <c r="F15" s="48"/>
      <c r="G15" s="56" t="s">
        <v>115</v>
      </c>
      <c r="H15" s="58" t="s">
        <v>116</v>
      </c>
      <c r="I15" s="56" t="s">
        <v>117</v>
      </c>
      <c r="J15" s="48"/>
      <c r="K15" s="23" t="s">
        <v>118</v>
      </c>
      <c r="L15" s="23" t="s">
        <v>119</v>
      </c>
      <c r="M15" s="23" t="s">
        <v>120</v>
      </c>
      <c r="O15" s="23" t="s">
        <v>121</v>
      </c>
      <c r="P15" s="23" t="s">
        <v>122</v>
      </c>
      <c r="Q15" s="23" t="s">
        <v>123</v>
      </c>
    </row>
    <row r="16">
      <c r="A16" s="48"/>
      <c r="B16" s="52"/>
      <c r="C16" s="48"/>
      <c r="D16" s="48"/>
      <c r="E16" s="48"/>
      <c r="F16" s="48"/>
      <c r="G16" s="48"/>
      <c r="H16" s="48"/>
      <c r="I16" s="48"/>
      <c r="J16" s="48"/>
      <c r="L16" s="23" t="s">
        <v>124</v>
      </c>
      <c r="P16" s="23" t="s">
        <v>125</v>
      </c>
    </row>
  </sheetData>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1.38"/>
  </cols>
  <sheetData>
    <row r="1">
      <c r="C1" s="2" t="s">
        <v>0</v>
      </c>
      <c r="D1" s="2" t="s">
        <v>1</v>
      </c>
      <c r="E1" s="2" t="s">
        <v>2</v>
      </c>
      <c r="F1" s="51" t="s">
        <v>93</v>
      </c>
      <c r="G1" s="2" t="s">
        <v>3</v>
      </c>
      <c r="H1" s="2" t="s">
        <v>4</v>
      </c>
      <c r="I1" s="2" t="s">
        <v>5</v>
      </c>
      <c r="K1" s="2" t="s">
        <v>6</v>
      </c>
      <c r="L1" s="2" t="s">
        <v>7</v>
      </c>
      <c r="M1" s="2" t="s">
        <v>8</v>
      </c>
      <c r="O1" s="3" t="s">
        <v>9</v>
      </c>
      <c r="P1" s="3" t="s">
        <v>10</v>
      </c>
      <c r="Q1" s="3" t="s">
        <v>11</v>
      </c>
    </row>
    <row r="2">
      <c r="A2" s="49" t="s">
        <v>102</v>
      </c>
      <c r="B2" s="49" t="s">
        <v>70</v>
      </c>
    </row>
    <row r="3">
      <c r="A3" s="49">
        <v>12.5</v>
      </c>
      <c r="B3" s="49" t="s">
        <v>73</v>
      </c>
      <c r="C3" s="3">
        <v>10.5</v>
      </c>
      <c r="D3" s="3">
        <v>10.5</v>
      </c>
      <c r="E3" s="3">
        <v>10.5</v>
      </c>
      <c r="F3" s="3">
        <v>31.5</v>
      </c>
      <c r="G3" s="3">
        <v>10.5</v>
      </c>
      <c r="H3" s="3">
        <v>12.5</v>
      </c>
      <c r="I3" s="3">
        <v>10.5</v>
      </c>
      <c r="J3" s="3">
        <v>33.5</v>
      </c>
      <c r="K3" s="3">
        <v>10.5</v>
      </c>
      <c r="L3" s="3">
        <v>10.5</v>
      </c>
      <c r="M3" s="3">
        <v>10.5</v>
      </c>
      <c r="N3" s="3">
        <v>31.5</v>
      </c>
      <c r="O3" s="59">
        <v>5.0</v>
      </c>
      <c r="P3" s="59">
        <v>10.5</v>
      </c>
      <c r="Q3" s="59">
        <v>10.5</v>
      </c>
      <c r="R3" s="59">
        <v>26.0</v>
      </c>
    </row>
    <row r="4">
      <c r="A4" s="49">
        <v>12.5</v>
      </c>
      <c r="B4" s="49" t="s">
        <v>103</v>
      </c>
      <c r="C4" s="3">
        <v>12.5</v>
      </c>
      <c r="D4" s="3">
        <v>10.5</v>
      </c>
      <c r="E4" s="3">
        <v>7.5</v>
      </c>
      <c r="F4" s="3">
        <v>30.5</v>
      </c>
      <c r="G4" s="3">
        <v>12.5</v>
      </c>
      <c r="H4" s="3">
        <v>7.5</v>
      </c>
      <c r="I4" s="3">
        <v>12.5</v>
      </c>
      <c r="J4" s="3">
        <v>32.5</v>
      </c>
      <c r="K4" s="3">
        <v>12.5</v>
      </c>
      <c r="L4" s="3">
        <v>12.5</v>
      </c>
      <c r="M4" s="3">
        <v>12.5</v>
      </c>
      <c r="N4" s="3">
        <v>37.5</v>
      </c>
      <c r="O4" s="59">
        <v>12.5</v>
      </c>
      <c r="P4" s="59">
        <v>7.5</v>
      </c>
      <c r="Q4" s="59">
        <v>10.5</v>
      </c>
      <c r="R4" s="59">
        <v>30.5</v>
      </c>
    </row>
    <row r="5">
      <c r="A5" s="49">
        <v>12.5</v>
      </c>
      <c r="B5" s="55" t="s">
        <v>104</v>
      </c>
      <c r="C5" s="3">
        <v>6.5</v>
      </c>
      <c r="D5" s="3">
        <v>10.0</v>
      </c>
      <c r="E5" s="3">
        <v>6.5</v>
      </c>
      <c r="F5" s="3">
        <v>23.0</v>
      </c>
      <c r="G5" s="3">
        <v>7.5</v>
      </c>
      <c r="H5" s="3">
        <v>7.5</v>
      </c>
      <c r="I5" s="3">
        <v>12.5</v>
      </c>
      <c r="J5" s="3">
        <v>27.5</v>
      </c>
      <c r="K5" s="3">
        <v>7.5</v>
      </c>
      <c r="N5" s="3">
        <v>22.5</v>
      </c>
      <c r="O5" s="59">
        <v>10.0</v>
      </c>
      <c r="P5" s="59">
        <v>7.5</v>
      </c>
      <c r="R5" s="59">
        <v>25.0</v>
      </c>
    </row>
    <row r="6">
      <c r="A6" s="49">
        <v>12.5</v>
      </c>
      <c r="B6" s="49" t="s">
        <v>79</v>
      </c>
      <c r="C6" s="3">
        <v>11.5</v>
      </c>
      <c r="D6" s="3">
        <v>11.5</v>
      </c>
      <c r="E6" s="19">
        <f t="shared" ref="E6:E8" si="1">AVERAGE(C6:D6)</f>
        <v>11.5</v>
      </c>
      <c r="F6" s="3">
        <v>34.5</v>
      </c>
      <c r="G6" s="3">
        <v>12.5</v>
      </c>
      <c r="H6" s="3">
        <v>11.0</v>
      </c>
      <c r="I6" s="3">
        <v>12.0</v>
      </c>
      <c r="J6" s="3">
        <v>35.5</v>
      </c>
      <c r="K6" s="3">
        <v>11.0</v>
      </c>
      <c r="N6" s="3">
        <v>33.0</v>
      </c>
      <c r="R6" s="59">
        <v>33.0</v>
      </c>
    </row>
    <row r="7">
      <c r="A7" s="49">
        <v>8.0</v>
      </c>
      <c r="B7" s="55" t="s">
        <v>105</v>
      </c>
      <c r="C7" s="3">
        <v>6.5</v>
      </c>
      <c r="D7" s="3">
        <v>4.5</v>
      </c>
      <c r="E7" s="19">
        <f t="shared" si="1"/>
        <v>5.5</v>
      </c>
      <c r="F7" s="3">
        <v>16.5</v>
      </c>
      <c r="G7" s="3">
        <v>8.0</v>
      </c>
      <c r="H7" s="3">
        <v>6.0</v>
      </c>
      <c r="I7" s="3">
        <v>7.0</v>
      </c>
      <c r="J7" s="3">
        <v>21.0</v>
      </c>
      <c r="K7" s="3">
        <v>7.0</v>
      </c>
      <c r="N7" s="3">
        <v>21.0</v>
      </c>
      <c r="R7" s="59">
        <v>24.0</v>
      </c>
    </row>
    <row r="8">
      <c r="A8" s="49">
        <v>8.0</v>
      </c>
      <c r="B8" s="49" t="s">
        <v>106</v>
      </c>
      <c r="C8" s="3">
        <v>6.5</v>
      </c>
      <c r="D8" s="3">
        <v>6.5</v>
      </c>
      <c r="E8" s="19">
        <f t="shared" si="1"/>
        <v>6.5</v>
      </c>
      <c r="F8" s="3">
        <v>19.5</v>
      </c>
      <c r="G8" s="3">
        <v>6.5</v>
      </c>
      <c r="H8" s="3">
        <v>8.0</v>
      </c>
      <c r="I8" s="3">
        <v>7.0</v>
      </c>
      <c r="J8" s="3">
        <v>21.5</v>
      </c>
      <c r="K8" s="3">
        <v>7.0</v>
      </c>
      <c r="N8" s="3">
        <v>21.0</v>
      </c>
      <c r="R8" s="59">
        <v>21.0</v>
      </c>
    </row>
    <row r="9">
      <c r="A9" s="49">
        <v>8.0</v>
      </c>
      <c r="B9" s="55" t="s">
        <v>107</v>
      </c>
      <c r="C9" s="3">
        <v>7.0</v>
      </c>
      <c r="D9" s="3">
        <v>6.5</v>
      </c>
      <c r="E9" s="3">
        <v>7.0</v>
      </c>
      <c r="F9" s="3">
        <v>20.5</v>
      </c>
      <c r="G9" s="3">
        <v>6.5</v>
      </c>
      <c r="H9" s="3">
        <v>6.5</v>
      </c>
      <c r="I9" s="3">
        <v>6.5</v>
      </c>
      <c r="J9" s="3">
        <v>19.5</v>
      </c>
      <c r="K9" s="3">
        <v>6.5</v>
      </c>
      <c r="N9" s="3">
        <v>19.5</v>
      </c>
      <c r="R9" s="59">
        <v>20.0</v>
      </c>
    </row>
    <row r="10">
      <c r="A10" s="49">
        <v>8.0</v>
      </c>
      <c r="B10" s="49" t="s">
        <v>108</v>
      </c>
      <c r="C10" s="3">
        <v>5.0</v>
      </c>
      <c r="D10" s="3">
        <v>6.0</v>
      </c>
      <c r="E10" s="19">
        <f>AVERAGE(C10:D10)</f>
        <v>5.5</v>
      </c>
      <c r="F10" s="3">
        <v>16.5</v>
      </c>
      <c r="G10" s="3">
        <v>6.5</v>
      </c>
      <c r="H10" s="3">
        <v>8.0</v>
      </c>
      <c r="I10" s="3">
        <v>7.0</v>
      </c>
      <c r="J10" s="3">
        <v>21.5</v>
      </c>
      <c r="K10" s="3">
        <v>7.0</v>
      </c>
      <c r="N10" s="3">
        <v>21.0</v>
      </c>
      <c r="R10" s="59">
        <v>22.0</v>
      </c>
    </row>
    <row r="11">
      <c r="A11" s="49">
        <v>8.0</v>
      </c>
      <c r="B11" s="55" t="s">
        <v>109</v>
      </c>
      <c r="C11" s="3">
        <v>7.5</v>
      </c>
      <c r="D11" s="3">
        <v>8.0</v>
      </c>
      <c r="E11" s="3">
        <v>8.0</v>
      </c>
      <c r="F11" s="3">
        <v>23.5</v>
      </c>
      <c r="G11" s="3">
        <v>7.5</v>
      </c>
      <c r="H11" s="3">
        <v>6.0</v>
      </c>
      <c r="I11" s="3">
        <v>7.0</v>
      </c>
      <c r="J11" s="3">
        <v>20.5</v>
      </c>
      <c r="K11" s="3">
        <v>7.0</v>
      </c>
      <c r="N11" s="3">
        <v>21.0</v>
      </c>
      <c r="R11" s="59">
        <v>24.0</v>
      </c>
    </row>
    <row r="12">
      <c r="A12" s="49">
        <v>10.0</v>
      </c>
      <c r="B12" s="55" t="s">
        <v>110</v>
      </c>
      <c r="C12" s="3">
        <v>10.0</v>
      </c>
      <c r="D12" s="3">
        <v>10.0</v>
      </c>
      <c r="E12" s="3">
        <v>10.0</v>
      </c>
      <c r="F12" s="3">
        <v>30.0</v>
      </c>
      <c r="G12" s="3">
        <v>10.0</v>
      </c>
      <c r="H12" s="3">
        <v>10.0</v>
      </c>
      <c r="I12" s="3">
        <v>9.0</v>
      </c>
      <c r="J12" s="3">
        <v>29.0</v>
      </c>
      <c r="K12" s="3">
        <v>10.0</v>
      </c>
      <c r="L12" s="3">
        <v>10.0</v>
      </c>
      <c r="M12" s="3">
        <v>10.0</v>
      </c>
      <c r="N12" s="3">
        <v>30.0</v>
      </c>
      <c r="R12" s="59">
        <v>28.0</v>
      </c>
    </row>
    <row r="13">
      <c r="A13" s="49">
        <v>100.0</v>
      </c>
      <c r="B13" s="48"/>
      <c r="C13" s="19">
        <f t="shared" ref="C13:D13" si="2">SUM(C2:C12)</f>
        <v>83.5</v>
      </c>
      <c r="D13" s="19">
        <f t="shared" si="2"/>
        <v>84</v>
      </c>
      <c r="E13" s="19">
        <f t="shared" ref="E13:F13" si="3">SUM(E3:E12)</f>
        <v>78.5</v>
      </c>
      <c r="F13" s="19">
        <f t="shared" si="3"/>
        <v>246</v>
      </c>
      <c r="J13" s="19">
        <f>SUM(J3:J12)</f>
        <v>262</v>
      </c>
      <c r="N13" s="19">
        <f>SUM(N3:N12)</f>
        <v>258</v>
      </c>
      <c r="R13" s="19">
        <f>SUM(R3:R12)</f>
        <v>253.5</v>
      </c>
    </row>
    <row r="14">
      <c r="A14" s="48"/>
      <c r="B14" s="48"/>
      <c r="R14" s="60">
        <v>0.084</v>
      </c>
    </row>
    <row r="15">
      <c r="A15" s="48" t="s">
        <v>72</v>
      </c>
      <c r="B15" s="48"/>
      <c r="C15" s="23" t="s">
        <v>126</v>
      </c>
      <c r="D15" s="23" t="s">
        <v>127</v>
      </c>
    </row>
  </sheetData>
  <drawing r:id="rId4"/>
  <legacyDrawing r:id="rId5"/>
</worksheet>
</file>